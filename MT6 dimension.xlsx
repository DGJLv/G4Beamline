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gy\Downloads\"/>
    </mc:Choice>
  </mc:AlternateContent>
  <xr:revisionPtr revIDLastSave="0" documentId="13_ncr:1_{93B148E9-784E-467E-A93A-37722A06D8AA}" xr6:coauthVersionLast="47" xr6:coauthVersionMax="47" xr10:uidLastSave="{00000000-0000-0000-0000-000000000000}"/>
  <bookViews>
    <workbookView xWindow="-98" yWindow="-98" windowWidth="23236" windowHeight="13875" xr2:uid="{397684EF-82B3-4C8A-B54E-74C6E81E1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7" i="1"/>
  <c r="E48" i="1"/>
  <c r="C46" i="1"/>
  <c r="C47" i="1"/>
  <c r="C48" i="1"/>
  <c r="B46" i="1"/>
  <c r="B47" i="1"/>
  <c r="E45" i="1"/>
  <c r="C45" i="1"/>
  <c r="B45" i="1"/>
  <c r="H8" i="1"/>
  <c r="F8" i="1"/>
  <c r="F5" i="1"/>
  <c r="F6" i="1"/>
  <c r="G3" i="1"/>
  <c r="C22" i="1"/>
  <c r="C23" i="1"/>
  <c r="C24" i="1"/>
  <c r="C25" i="1"/>
  <c r="C26" i="1"/>
  <c r="C27" i="1"/>
  <c r="C28" i="1"/>
  <c r="C29" i="1"/>
  <c r="C30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B8" i="1"/>
  <c r="C2" i="1"/>
  <c r="B2" i="1"/>
  <c r="C3" i="1"/>
  <c r="Q17" i="1"/>
  <c r="B4" i="1"/>
  <c r="B5" i="1" s="1"/>
  <c r="C4" i="1" l="1"/>
  <c r="B6" i="1"/>
  <c r="B9" i="1" l="1"/>
  <c r="B10" i="1" s="1"/>
  <c r="N12" i="1" s="1"/>
  <c r="B7" i="1"/>
  <c r="B11" i="1" l="1"/>
  <c r="B12" i="1" s="1"/>
  <c r="B13" i="1" s="1"/>
  <c r="B14" i="1" s="1"/>
  <c r="B15" i="1" s="1"/>
  <c r="B16" i="1" s="1"/>
  <c r="N14" i="1" l="1"/>
  <c r="B17" i="1"/>
  <c r="B18" i="1" s="1"/>
  <c r="B19" i="1" s="1"/>
  <c r="B20" i="1" s="1"/>
  <c r="B21" i="1" s="1"/>
  <c r="B22" i="1" l="1"/>
  <c r="B23" i="1" s="1"/>
  <c r="N17" i="1" s="1"/>
  <c r="B24" i="1" l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<sst xmlns="http://schemas.openxmlformats.org/spreadsheetml/2006/main" count="68" uniqueCount="63">
  <si>
    <t>MT6PWC1</t>
  </si>
  <si>
    <t>screen</t>
  </si>
  <si>
    <t>thick block</t>
  </si>
  <si>
    <t>MWPC 2400-2610V</t>
  </si>
  <si>
    <t>MWPC 2470-2650V</t>
  </si>
  <si>
    <t>MT6WC3</t>
  </si>
  <si>
    <t>film</t>
  </si>
  <si>
    <t>frame</t>
  </si>
  <si>
    <t>MWPC 2450-2600V</t>
  </si>
  <si>
    <t>LAPPD2?</t>
  </si>
  <si>
    <t>frame2</t>
  </si>
  <si>
    <t>calcoo</t>
  </si>
  <si>
    <t>T1604</t>
  </si>
  <si>
    <t>MWPC 2460-2640V</t>
  </si>
  <si>
    <t>name</t>
  </si>
  <si>
    <t>z(m)</t>
  </si>
  <si>
    <t>z(in)</t>
  </si>
  <si>
    <t xml:space="preserve">MT61BEG </t>
  </si>
  <si>
    <t xml:space="preserve">WINDOW </t>
  </si>
  <si>
    <t>MT6SC1</t>
  </si>
  <si>
    <t xml:space="preserve">MT6PWC1 </t>
  </si>
  <si>
    <t xml:space="preserve">TOF_MT61 </t>
  </si>
  <si>
    <t xml:space="preserve">MT6PWC2 </t>
  </si>
  <si>
    <t xml:space="preserve">MT6AB </t>
  </si>
  <si>
    <t xml:space="preserve">MT61END </t>
  </si>
  <si>
    <t xml:space="preserve">MT62BEG </t>
  </si>
  <si>
    <t xml:space="preserve">MT6SC3 </t>
  </si>
  <si>
    <t xml:space="preserve">MT6PWC3 </t>
  </si>
  <si>
    <t xml:space="preserve">MT62END </t>
  </si>
  <si>
    <t>Absorber end</t>
  </si>
  <si>
    <t>Tunnel btw sections</t>
  </si>
  <si>
    <t>Cosmo1</t>
  </si>
  <si>
    <t>Cosmo2-1</t>
  </si>
  <si>
    <t>Cosmo2-2</t>
  </si>
  <si>
    <t>Cosmo2-3</t>
  </si>
  <si>
    <t>MT6SC3</t>
  </si>
  <si>
    <t>MT6SC2</t>
  </si>
  <si>
    <t>Jam detector (will move to 2470)</t>
  </si>
  <si>
    <t>Absorber (MT6AB)</t>
  </si>
  <si>
    <t>LAPPD2 (TOF_MT61)</t>
  </si>
  <si>
    <t>simulation</t>
  </si>
  <si>
    <t>MT4TGT</t>
  </si>
  <si>
    <t>MT4Q1</t>
  </si>
  <si>
    <t>MT4W1</t>
  </si>
  <si>
    <t>MT5TGT2</t>
  </si>
  <si>
    <t>MT5TGT</t>
  </si>
  <si>
    <t>MT4Q2</t>
  </si>
  <si>
    <t>MT4W2</t>
  </si>
  <si>
    <t>MT4Q3</t>
  </si>
  <si>
    <t>MT4HC1</t>
  </si>
  <si>
    <t>MT4FP</t>
  </si>
  <si>
    <t>MT4Q4</t>
  </si>
  <si>
    <t>MT4CH2</t>
  </si>
  <si>
    <t>MT4Q5</t>
  </si>
  <si>
    <t>MT4Q6</t>
  </si>
  <si>
    <t>MT5FP1</t>
  </si>
  <si>
    <t>MT5E1</t>
  </si>
  <si>
    <t>MT5E2</t>
  </si>
  <si>
    <t>Det5M</t>
  </si>
  <si>
    <t>MT5E3</t>
  </si>
  <si>
    <t>MT5E4</t>
  </si>
  <si>
    <t>MT5E5</t>
  </si>
  <si>
    <t>MT5DE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</si>
</sst>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69F6-38AE-451B-9AB7-8C3738BB862E}">
  <dimension ref="A1:T48"/>
  <sheetViews>
    <sheetView tabSelected="1" topLeftCell="R1" zoomScale="134" zoomScaleNormal="85" workbookViewId="0">
      <selection activeCell="X13" sqref="X13"/>
    </sheetView>
  </sheetViews>
  <sheetFormatPr defaultRowHeight="14.25" x14ac:dyDescent="0.45"/>
  <cols>
    <col min="1" max="1" width="26.59765625" bestFit="1" customWidth="1"/>
  </cols>
  <sheetData>
    <row r="1" spans="1:20" x14ac:dyDescent="0.45">
      <c r="A1" t="s">
        <v>14</v>
      </c>
      <c r="B1" t="s">
        <v>15</v>
      </c>
      <c r="C1" t="s">
        <v>16</v>
      </c>
      <c r="D1" t="s">
        <v>40</v>
      </c>
      <c r="T1" t="s">
        <v>41</v>
      </c>
    </row>
    <row r="2" spans="1:20" x14ac:dyDescent="0.45">
      <c r="A2" t="s">
        <v>19</v>
      </c>
      <c r="B2">
        <f>B3-0.407</f>
        <v>520.23609999999996</v>
      </c>
      <c r="C2">
        <f>39.3701*B2</f>
        <v>20481.747280609998</v>
      </c>
      <c r="J2" t="s">
        <v>17</v>
      </c>
      <c r="K2">
        <v>520.58219999999994</v>
      </c>
      <c r="T2" t="s">
        <v>42</v>
      </c>
    </row>
    <row r="3" spans="1:20" x14ac:dyDescent="0.45">
      <c r="A3" t="s">
        <v>0</v>
      </c>
      <c r="B3">
        <v>520.6431</v>
      </c>
      <c r="C3">
        <f>39.3701*B3</f>
        <v>20497.770911309999</v>
      </c>
      <c r="E3">
        <v>180266.22</v>
      </c>
      <c r="G3">
        <f>E3-B3</f>
        <v>179745.57690000001</v>
      </c>
      <c r="J3" t="s">
        <v>18</v>
      </c>
      <c r="K3">
        <v>520.58219999999994</v>
      </c>
      <c r="T3" t="s">
        <v>43</v>
      </c>
    </row>
    <row r="4" spans="1:20" x14ac:dyDescent="0.45">
      <c r="A4" t="s">
        <v>39</v>
      </c>
      <c r="B4">
        <f>B3+1.09</f>
        <v>521.73310000000004</v>
      </c>
      <c r="C4">
        <f>39.3701*B4</f>
        <v>20540.684320310003</v>
      </c>
      <c r="J4" t="s">
        <v>19</v>
      </c>
      <c r="K4">
        <v>520.61260000000004</v>
      </c>
      <c r="T4" t="s">
        <v>44</v>
      </c>
    </row>
    <row r="5" spans="1:20" x14ac:dyDescent="0.45">
      <c r="A5" t="s">
        <v>6</v>
      </c>
      <c r="B5">
        <f>B4+1.595</f>
        <v>523.32810000000006</v>
      </c>
      <c r="C5">
        <f t="shared" ref="C5:C30" si="0">39.3701*B5</f>
        <v>20603.479629810005</v>
      </c>
      <c r="F5">
        <f>417041.1</f>
        <v>417041.1</v>
      </c>
      <c r="J5" t="s">
        <v>20</v>
      </c>
      <c r="K5">
        <v>520.6431</v>
      </c>
      <c r="T5" t="s">
        <v>45</v>
      </c>
    </row>
    <row r="6" spans="1:20" x14ac:dyDescent="0.45">
      <c r="A6" t="s">
        <v>31</v>
      </c>
      <c r="B6">
        <f>B5+1.273</f>
        <v>524.60110000000009</v>
      </c>
      <c r="C6">
        <f t="shared" si="0"/>
        <v>20653.597767110004</v>
      </c>
      <c r="F6">
        <f>F5+E3</f>
        <v>597307.31999999995</v>
      </c>
      <c r="J6" t="s">
        <v>18</v>
      </c>
      <c r="K6">
        <v>520.6431</v>
      </c>
      <c r="T6" t="s">
        <v>46</v>
      </c>
    </row>
    <row r="7" spans="1:20" x14ac:dyDescent="0.45">
      <c r="A7" t="s">
        <v>32</v>
      </c>
      <c r="B7">
        <f>B6+1.1</f>
        <v>525.70110000000011</v>
      </c>
      <c r="C7">
        <f t="shared" si="0"/>
        <v>20696.904877110006</v>
      </c>
      <c r="J7" t="s">
        <v>21</v>
      </c>
      <c r="K7">
        <v>521.73450000000003</v>
      </c>
      <c r="T7" t="s">
        <v>47</v>
      </c>
    </row>
    <row r="8" spans="1:20" x14ac:dyDescent="0.45">
      <c r="A8" t="s">
        <v>33</v>
      </c>
      <c r="B8">
        <f>B6+1.45</f>
        <v>526.05110000000013</v>
      </c>
      <c r="C8">
        <f t="shared" si="0"/>
        <v>20710.684412110004</v>
      </c>
      <c r="E8">
        <v>520612.6</v>
      </c>
      <c r="F8">
        <f>E8-F9</f>
        <v>340346.38</v>
      </c>
      <c r="H8">
        <f>417821-F8</f>
        <v>77474.62</v>
      </c>
      <c r="J8" t="s">
        <v>22</v>
      </c>
      <c r="K8">
        <v>530.26390000000004</v>
      </c>
      <c r="T8" t="s">
        <v>48</v>
      </c>
    </row>
    <row r="9" spans="1:20" x14ac:dyDescent="0.45">
      <c r="A9" t="s">
        <v>34</v>
      </c>
      <c r="B9">
        <f>B8+0.29</f>
        <v>526.3411000000001</v>
      </c>
      <c r="C9">
        <f t="shared" si="0"/>
        <v>20722.101741110004</v>
      </c>
      <c r="F9">
        <v>180266.22</v>
      </c>
      <c r="J9" t="s">
        <v>23</v>
      </c>
      <c r="K9">
        <v>531.02549999999997</v>
      </c>
      <c r="T9" t="s">
        <v>49</v>
      </c>
    </row>
    <row r="10" spans="1:20" x14ac:dyDescent="0.45">
      <c r="A10" t="s">
        <v>1</v>
      </c>
      <c r="B10">
        <f>B9+3.92</f>
        <v>530.26110000000006</v>
      </c>
      <c r="C10">
        <f t="shared" si="0"/>
        <v>20876.432533110001</v>
      </c>
      <c r="J10" t="s">
        <v>24</v>
      </c>
      <c r="K10">
        <v>534.47799999999995</v>
      </c>
      <c r="T10" t="s">
        <v>50</v>
      </c>
    </row>
    <row r="11" spans="1:20" x14ac:dyDescent="0.45">
      <c r="A11" t="s">
        <v>22</v>
      </c>
      <c r="B11">
        <f>B10+0.2</f>
        <v>530.4611000000001</v>
      </c>
      <c r="C11">
        <f t="shared" si="0"/>
        <v>20884.306553110004</v>
      </c>
      <c r="J11" t="s">
        <v>25</v>
      </c>
      <c r="K11">
        <v>534.47799999999995</v>
      </c>
      <c r="T11" t="s">
        <v>51</v>
      </c>
    </row>
    <row r="12" spans="1:20" x14ac:dyDescent="0.45">
      <c r="A12" t="s">
        <v>36</v>
      </c>
      <c r="B12">
        <f>B11+0.45</f>
        <v>530.91110000000015</v>
      </c>
      <c r="C12">
        <f t="shared" si="0"/>
        <v>20902.023098110007</v>
      </c>
      <c r="J12" t="s">
        <v>26</v>
      </c>
      <c r="K12">
        <v>535.49350000000004</v>
      </c>
      <c r="N12">
        <f>B10-B5</f>
        <v>6.9329999999999927</v>
      </c>
      <c r="Q12">
        <v>6.8</v>
      </c>
      <c r="T12" t="s">
        <v>52</v>
      </c>
    </row>
    <row r="13" spans="1:20" x14ac:dyDescent="0.45">
      <c r="A13" t="s">
        <v>38</v>
      </c>
      <c r="B13">
        <f>B12+0.31</f>
        <v>531.22110000000009</v>
      </c>
      <c r="C13">
        <f t="shared" si="0"/>
        <v>20914.227829110005</v>
      </c>
      <c r="J13" t="s">
        <v>27</v>
      </c>
      <c r="K13">
        <v>546.61749999999995</v>
      </c>
      <c r="T13" t="s">
        <v>53</v>
      </c>
    </row>
    <row r="14" spans="1:20" x14ac:dyDescent="0.45">
      <c r="A14" t="s">
        <v>29</v>
      </c>
      <c r="B14">
        <f>B13+3.1</f>
        <v>534.32110000000011</v>
      </c>
      <c r="C14">
        <f t="shared" si="0"/>
        <v>21036.275139110006</v>
      </c>
      <c r="J14" t="s">
        <v>28</v>
      </c>
      <c r="K14">
        <v>558.80089999999996</v>
      </c>
      <c r="N14">
        <f>B14-B10</f>
        <v>4.0600000000000591</v>
      </c>
      <c r="Q14">
        <v>4.05</v>
      </c>
      <c r="T14" t="s">
        <v>54</v>
      </c>
    </row>
    <row r="15" spans="1:20" x14ac:dyDescent="0.45">
      <c r="A15" t="s">
        <v>30</v>
      </c>
      <c r="B15">
        <f>B14+0.915</f>
        <v>535.23610000000008</v>
      </c>
      <c r="C15">
        <f t="shared" si="0"/>
        <v>21072.298780610003</v>
      </c>
      <c r="T15" t="s">
        <v>55</v>
      </c>
    </row>
    <row r="16" spans="1:20" x14ac:dyDescent="0.45">
      <c r="A16" t="s">
        <v>35</v>
      </c>
      <c r="B16">
        <f>B15+0.23</f>
        <v>535.4661000000001</v>
      </c>
      <c r="C16">
        <f t="shared" si="0"/>
        <v>21081.353903610005</v>
      </c>
      <c r="T16" t="s">
        <v>56</v>
      </c>
    </row>
    <row r="17" spans="1:20" x14ac:dyDescent="0.45">
      <c r="A17" t="s">
        <v>2</v>
      </c>
      <c r="B17">
        <f>B16+0.13</f>
        <v>535.59610000000009</v>
      </c>
      <c r="C17">
        <f t="shared" si="0"/>
        <v>21086.472016610005</v>
      </c>
      <c r="N17">
        <f>B23-B14</f>
        <v>12.135000000000105</v>
      </c>
      <c r="Q17">
        <f>5.37+5.6</f>
        <v>10.969999999999999</v>
      </c>
      <c r="T17" t="s">
        <v>57</v>
      </c>
    </row>
    <row r="18" spans="1:20" x14ac:dyDescent="0.45">
      <c r="A18" t="s">
        <v>3</v>
      </c>
      <c r="B18">
        <f>B17+0.44</f>
        <v>536.03610000000015</v>
      </c>
      <c r="C18">
        <f t="shared" si="0"/>
        <v>21103.794860610007</v>
      </c>
      <c r="T18" t="s">
        <v>58</v>
      </c>
    </row>
    <row r="19" spans="1:20" x14ac:dyDescent="0.45">
      <c r="A19" t="s">
        <v>4</v>
      </c>
      <c r="B19">
        <f>B18+3.74</f>
        <v>539.77610000000016</v>
      </c>
      <c r="C19">
        <f t="shared" si="0"/>
        <v>21251.039034610007</v>
      </c>
      <c r="T19" t="s">
        <v>59</v>
      </c>
    </row>
    <row r="20" spans="1:20" x14ac:dyDescent="0.45">
      <c r="A20" t="s">
        <v>13</v>
      </c>
      <c r="B20">
        <f>B19+3.09</f>
        <v>542.86610000000019</v>
      </c>
      <c r="C20">
        <f t="shared" si="0"/>
        <v>21372.692643610008</v>
      </c>
      <c r="T20" t="s">
        <v>60</v>
      </c>
    </row>
    <row r="21" spans="1:20" x14ac:dyDescent="0.45">
      <c r="A21" t="s">
        <v>37</v>
      </c>
      <c r="B21">
        <f>B20+2.31</f>
        <v>545.17610000000013</v>
      </c>
      <c r="C21">
        <f t="shared" si="0"/>
        <v>21463.637574610006</v>
      </c>
      <c r="T21" t="s">
        <v>61</v>
      </c>
    </row>
    <row r="22" spans="1:20" x14ac:dyDescent="0.45">
      <c r="A22" t="s">
        <v>5</v>
      </c>
      <c r="B22">
        <f>B21+1.08</f>
        <v>546.25610000000017</v>
      </c>
      <c r="C22">
        <f>39.3701*B22</f>
        <v>21506.157282610005</v>
      </c>
      <c r="T22" t="s">
        <v>62</v>
      </c>
    </row>
    <row r="23" spans="1:20" x14ac:dyDescent="0.45">
      <c r="A23" t="s">
        <v>6</v>
      </c>
      <c r="B23">
        <f>B22+0.2</f>
        <v>546.45610000000022</v>
      </c>
      <c r="C23">
        <f t="shared" si="0"/>
        <v>21514.031302610008</v>
      </c>
    </row>
    <row r="24" spans="1:20" x14ac:dyDescent="0.45">
      <c r="A24" t="s">
        <v>6</v>
      </c>
      <c r="B24">
        <f>B23+3.04</f>
        <v>549.49610000000018</v>
      </c>
      <c r="C24">
        <f t="shared" si="0"/>
        <v>21633.716406610009</v>
      </c>
    </row>
    <row r="25" spans="1:20" x14ac:dyDescent="0.45">
      <c r="A25" t="s">
        <v>7</v>
      </c>
      <c r="B25">
        <f>B24+0.38</f>
        <v>549.87610000000018</v>
      </c>
      <c r="C25">
        <f t="shared" si="0"/>
        <v>21648.677044610009</v>
      </c>
    </row>
    <row r="26" spans="1:20" x14ac:dyDescent="0.45">
      <c r="A26" t="s">
        <v>8</v>
      </c>
      <c r="B26">
        <f>B25+0.84</f>
        <v>550.71610000000021</v>
      </c>
      <c r="C26">
        <f t="shared" si="0"/>
        <v>21681.74792861001</v>
      </c>
    </row>
    <row r="27" spans="1:20" x14ac:dyDescent="0.45">
      <c r="A27" t="s">
        <v>9</v>
      </c>
      <c r="B27">
        <f>B26+1.25</f>
        <v>551.96610000000021</v>
      </c>
      <c r="C27">
        <f t="shared" si="0"/>
        <v>21730.96055361001</v>
      </c>
    </row>
    <row r="28" spans="1:20" x14ac:dyDescent="0.45">
      <c r="A28" t="s">
        <v>10</v>
      </c>
      <c r="B28">
        <f>B27+0.813</f>
        <v>552.7791000000002</v>
      </c>
      <c r="C28">
        <f t="shared" si="0"/>
        <v>21762.96844491001</v>
      </c>
    </row>
    <row r="29" spans="1:20" x14ac:dyDescent="0.45">
      <c r="A29" t="s">
        <v>11</v>
      </c>
      <c r="B29">
        <f>B28+0.49</f>
        <v>553.26910000000021</v>
      </c>
      <c r="C29">
        <f t="shared" si="0"/>
        <v>21782.259793910009</v>
      </c>
    </row>
    <row r="30" spans="1:20" x14ac:dyDescent="0.45">
      <c r="A30" t="s">
        <v>12</v>
      </c>
      <c r="B30">
        <f>B29+0.65</f>
        <v>553.91910000000018</v>
      </c>
      <c r="C30">
        <f t="shared" si="0"/>
        <v>21807.850358910007</v>
      </c>
    </row>
    <row r="45" spans="1:5" x14ac:dyDescent="0.45">
      <c r="A45" s="1">
        <v>421.673</v>
      </c>
      <c r="B45">
        <f>A45*1000</f>
        <v>421673</v>
      </c>
      <c r="C45">
        <f>B45</f>
        <v>421673</v>
      </c>
      <c r="D45">
        <v>73928.735000000001</v>
      </c>
      <c r="E45">
        <f>C45-D45</f>
        <v>347744.26500000001</v>
      </c>
    </row>
    <row r="46" spans="1:5" x14ac:dyDescent="0.45">
      <c r="B46">
        <f t="shared" ref="B46:B47" si="1">A46*1000</f>
        <v>0</v>
      </c>
      <c r="C46">
        <f t="shared" ref="C46:C48" si="2">B46</f>
        <v>0</v>
      </c>
      <c r="E46">
        <f t="shared" ref="E46:E48" si="3">C46-D46</f>
        <v>0</v>
      </c>
    </row>
    <row r="47" spans="1:5" x14ac:dyDescent="0.45">
      <c r="A47" s="1">
        <v>413.45299999999997</v>
      </c>
      <c r="B47">
        <f t="shared" si="1"/>
        <v>413453</v>
      </c>
      <c r="C47">
        <f t="shared" si="2"/>
        <v>413453</v>
      </c>
      <c r="D47" s="1">
        <v>65164.81</v>
      </c>
      <c r="E47">
        <f t="shared" si="3"/>
        <v>348288.19</v>
      </c>
    </row>
    <row r="48" spans="1:5" x14ac:dyDescent="0.45">
      <c r="C48">
        <f t="shared" si="2"/>
        <v>0</v>
      </c>
      <c r="E48">
        <f t="shared" si="3"/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Yunhee Jang</dc:creator>
  <cp:lastModifiedBy>Yunhee Jang</cp:lastModifiedBy>
  <dcterms:created xsi:type="dcterms:W3CDTF">2025-07-30T15:47:06Z</dcterms:created>
  <dcterms:modified xsi:type="dcterms:W3CDTF">2025-08-07T05:27:26Z</dcterms:modified>
</cp:coreProperties>
</file>