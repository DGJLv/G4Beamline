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nm\Documents\"/>
    </mc:Choice>
  </mc:AlternateContent>
  <xr:revisionPtr revIDLastSave="0" documentId="8_{345A42DE-6A06-479D-AB8B-61D1ECCD1E2B}" xr6:coauthVersionLast="47" xr6:coauthVersionMax="47" xr10:uidLastSave="{00000000-0000-0000-0000-000000000000}"/>
  <bookViews>
    <workbookView xWindow="-110" yWindow="-110" windowWidth="19420" windowHeight="11500" tabRatio="832" activeTab="1" xr2:uid="{00000000-000D-0000-FFFF-FFFF00000000}"/>
  </bookViews>
  <sheets>
    <sheet name="Constants" sheetId="1" r:id="rId1"/>
    <sheet name="Geometry" sheetId="4" r:id="rId2"/>
    <sheet name="Magnets - Fields" sheetId="5" r:id="rId3"/>
    <sheet name="Magnets - Currents" sheetId="6" r:id="rId4"/>
    <sheet name="Magnets - SN" sheetId="7" r:id="rId5"/>
    <sheet name="Vacuum" sheetId="8" r:id="rId6"/>
    <sheet name="Power Supplies" sheetId="9" r:id="rId7"/>
    <sheet name="Instrumentation" sheetId="10" r:id="rId8"/>
    <sheet name="bsheet" sheetId="2" r:id="rId9"/>
    <sheet name="isheet" sheetId="3" r:id="rId10"/>
  </sheets>
  <definedNames>
    <definedName name="ExternalData_1" localSheetId="8" hidden="1">bsheet!$A$1:$I$589</definedName>
    <definedName name="ExternalData_1" localSheetId="9" hidden="1">isheet!$A$1:$G$150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0" i="4" l="1"/>
  <c r="S406" i="4"/>
  <c r="R406" i="4"/>
  <c r="Q406" i="4"/>
  <c r="V379" i="4"/>
  <c r="T379" i="4"/>
  <c r="T377" i="4"/>
  <c r="S374" i="4"/>
  <c r="S371" i="4"/>
  <c r="S403" i="4"/>
  <c r="R403" i="4"/>
  <c r="Q403" i="4"/>
  <c r="R371" i="4"/>
  <c r="Q371" i="4"/>
  <c r="J18" i="1"/>
  <c r="J17" i="1"/>
  <c r="J16" i="1"/>
  <c r="J15" i="1"/>
  <c r="H33" i="6" s="1"/>
  <c r="J14" i="1"/>
  <c r="J13" i="1"/>
  <c r="J12" i="1"/>
  <c r="J11" i="1"/>
  <c r="J10" i="1"/>
  <c r="J9" i="1"/>
  <c r="J8" i="1"/>
  <c r="J7" i="1"/>
  <c r="H50" i="6" s="1"/>
  <c r="J6" i="1"/>
  <c r="H34" i="6" s="1"/>
  <c r="J5" i="1"/>
  <c r="H36" i="6" s="1"/>
  <c r="J4" i="1"/>
  <c r="H4" i="6" s="1"/>
  <c r="J3" i="1"/>
  <c r="H12" i="6" s="1"/>
  <c r="H49" i="6"/>
  <c r="H56" i="6"/>
  <c r="H55" i="6"/>
  <c r="H47" i="6"/>
  <c r="H43" i="6"/>
  <c r="H42" i="6"/>
  <c r="H40" i="6"/>
  <c r="H38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54" i="6"/>
  <c r="H53" i="6"/>
  <c r="H46" i="6"/>
  <c r="H45" i="6"/>
  <c r="H44" i="6"/>
  <c r="H41" i="6"/>
  <c r="H39" i="6"/>
  <c r="H37" i="6"/>
  <c r="H17" i="6"/>
  <c r="H16" i="6"/>
  <c r="H13" i="6"/>
  <c r="H6" i="6"/>
  <c r="H5" i="6"/>
  <c r="O16" i="1"/>
  <c r="O15" i="1"/>
  <c r="I56" i="5"/>
  <c r="J56" i="5" s="1"/>
  <c r="K56" i="5" s="1"/>
  <c r="I55" i="5"/>
  <c r="J55" i="5" s="1"/>
  <c r="K55" i="5" s="1"/>
  <c r="I54" i="5"/>
  <c r="J54" i="5" s="1"/>
  <c r="K54" i="5" s="1"/>
  <c r="I53" i="5"/>
  <c r="J53" i="5" s="1"/>
  <c r="K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K47" i="5" s="1"/>
  <c r="I46" i="5"/>
  <c r="J46" i="5" s="1"/>
  <c r="K46" i="5" s="1"/>
  <c r="I45" i="5"/>
  <c r="J45" i="5" s="1"/>
  <c r="K45" i="5" s="1"/>
  <c r="I44" i="5"/>
  <c r="J44" i="5" s="1"/>
  <c r="K44" i="5" s="1"/>
  <c r="I43" i="5"/>
  <c r="J43" i="5" s="1"/>
  <c r="K43" i="5" s="1"/>
  <c r="I42" i="5"/>
  <c r="J42" i="5" s="1"/>
  <c r="K42" i="5" s="1"/>
  <c r="J41" i="5"/>
  <c r="K41" i="5" s="1"/>
  <c r="I41" i="5"/>
  <c r="I40" i="5"/>
  <c r="J40" i="5" s="1"/>
  <c r="I39" i="5"/>
  <c r="J39" i="5" s="1"/>
  <c r="K39" i="5" s="1"/>
  <c r="I38" i="5"/>
  <c r="J38" i="5" s="1"/>
  <c r="J37" i="5"/>
  <c r="K37" i="5" s="1"/>
  <c r="I37" i="5"/>
  <c r="I36" i="5"/>
  <c r="J36" i="5" s="1"/>
  <c r="I35" i="5"/>
  <c r="J35" i="5" s="1"/>
  <c r="I34" i="5"/>
  <c r="J34" i="5" s="1"/>
  <c r="J33" i="5"/>
  <c r="K33" i="5" s="1"/>
  <c r="I33" i="5"/>
  <c r="I32" i="5"/>
  <c r="J32" i="5" s="1"/>
  <c r="K32" i="5" s="1"/>
  <c r="I31" i="5"/>
  <c r="J31" i="5" s="1"/>
  <c r="K31" i="5" s="1"/>
  <c r="I30" i="5"/>
  <c r="J30" i="5" s="1"/>
  <c r="K30" i="5" s="1"/>
  <c r="J29" i="5"/>
  <c r="K29" i="5" s="1"/>
  <c r="I29" i="5"/>
  <c r="I28" i="5"/>
  <c r="J28" i="5" s="1"/>
  <c r="I27" i="5"/>
  <c r="J27" i="5" s="1"/>
  <c r="I26" i="5"/>
  <c r="J26" i="5" s="1"/>
  <c r="J25" i="5"/>
  <c r="I25" i="5"/>
  <c r="I24" i="5"/>
  <c r="J24" i="5" s="1"/>
  <c r="I23" i="5"/>
  <c r="J23" i="5" s="1"/>
  <c r="K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K17" i="5" s="1"/>
  <c r="I16" i="5"/>
  <c r="J16" i="5" s="1"/>
  <c r="K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J9" i="5"/>
  <c r="K9" i="5" s="1"/>
  <c r="I9" i="5"/>
  <c r="K8" i="5"/>
  <c r="J8" i="5"/>
  <c r="I8" i="5"/>
  <c r="I7" i="5"/>
  <c r="J7" i="5" s="1"/>
  <c r="K7" i="5" s="1"/>
  <c r="I6" i="5"/>
  <c r="J6" i="5" s="1"/>
  <c r="K6" i="5" s="1"/>
  <c r="I5" i="5"/>
  <c r="J5" i="5" s="1"/>
  <c r="K5" i="5" s="1"/>
  <c r="I4" i="5"/>
  <c r="J4" i="5" s="1"/>
  <c r="K4" i="5" s="1"/>
  <c r="I3" i="5"/>
  <c r="J3" i="5" s="1"/>
  <c r="K3" i="5" s="1"/>
  <c r="K589" i="4"/>
  <c r="K587" i="4"/>
  <c r="K585" i="4"/>
  <c r="K583" i="4"/>
  <c r="K581" i="4"/>
  <c r="K579" i="4"/>
  <c r="K577" i="4"/>
  <c r="K575" i="4"/>
  <c r="K573" i="4"/>
  <c r="K571" i="4"/>
  <c r="K569" i="4"/>
  <c r="K567" i="4"/>
  <c r="K565" i="4"/>
  <c r="K563" i="4"/>
  <c r="K561" i="4"/>
  <c r="K559" i="4"/>
  <c r="K557" i="4"/>
  <c r="K555" i="4"/>
  <c r="K553" i="4"/>
  <c r="K551" i="4"/>
  <c r="K549" i="4"/>
  <c r="K547" i="4"/>
  <c r="K545" i="4"/>
  <c r="K543" i="4"/>
  <c r="K541" i="4"/>
  <c r="K539" i="4"/>
  <c r="K537" i="4"/>
  <c r="K535" i="4"/>
  <c r="K533" i="4"/>
  <c r="K531" i="4"/>
  <c r="K529" i="4"/>
  <c r="K527" i="4"/>
  <c r="K525" i="4"/>
  <c r="K523" i="4"/>
  <c r="K521" i="4"/>
  <c r="K519" i="4"/>
  <c r="K517" i="4"/>
  <c r="K515" i="4"/>
  <c r="K513" i="4"/>
  <c r="K511" i="4"/>
  <c r="K509" i="4"/>
  <c r="K507" i="4"/>
  <c r="K505" i="4"/>
  <c r="K503" i="4"/>
  <c r="K501" i="4"/>
  <c r="K499" i="4"/>
  <c r="K497" i="4"/>
  <c r="K495" i="4"/>
  <c r="K493" i="4"/>
  <c r="K491" i="4"/>
  <c r="K489" i="4"/>
  <c r="K487" i="4"/>
  <c r="K485" i="4"/>
  <c r="K483" i="4"/>
  <c r="K481" i="4"/>
  <c r="K479" i="4"/>
  <c r="K477" i="4"/>
  <c r="K475" i="4"/>
  <c r="K473" i="4"/>
  <c r="K471" i="4"/>
  <c r="K469" i="4"/>
  <c r="K467" i="4"/>
  <c r="K465" i="4"/>
  <c r="K463" i="4"/>
  <c r="K461" i="4"/>
  <c r="K459" i="4"/>
  <c r="K457" i="4"/>
  <c r="K455" i="4"/>
  <c r="K453" i="4"/>
  <c r="K451" i="4"/>
  <c r="K449" i="4"/>
  <c r="K447" i="4"/>
  <c r="K445" i="4"/>
  <c r="K443" i="4"/>
  <c r="K441" i="4"/>
  <c r="K439" i="4"/>
  <c r="K437" i="4"/>
  <c r="K435" i="4"/>
  <c r="K433" i="4"/>
  <c r="K431" i="4"/>
  <c r="K429" i="4"/>
  <c r="K427" i="4"/>
  <c r="K425" i="4"/>
  <c r="K423" i="4"/>
  <c r="K421" i="4"/>
  <c r="K419" i="4"/>
  <c r="K417" i="4"/>
  <c r="K415" i="4"/>
  <c r="K413" i="4"/>
  <c r="K411" i="4"/>
  <c r="K409" i="4"/>
  <c r="K407" i="4"/>
  <c r="K405" i="4"/>
  <c r="K403" i="4"/>
  <c r="K401" i="4"/>
  <c r="K399" i="4"/>
  <c r="K397" i="4"/>
  <c r="K395" i="4"/>
  <c r="K393" i="4"/>
  <c r="K391" i="4"/>
  <c r="K389" i="4"/>
  <c r="K387" i="4"/>
  <c r="K385" i="4"/>
  <c r="K383" i="4"/>
  <c r="K381" i="4"/>
  <c r="K379" i="4"/>
  <c r="K377" i="4"/>
  <c r="K375" i="4"/>
  <c r="K373" i="4"/>
  <c r="K371" i="4"/>
  <c r="K369" i="4"/>
  <c r="K367" i="4"/>
  <c r="K365" i="4"/>
  <c r="K363" i="4"/>
  <c r="K361" i="4"/>
  <c r="K359" i="4"/>
  <c r="K357" i="4"/>
  <c r="K355" i="4"/>
  <c r="K353" i="4"/>
  <c r="K351" i="4"/>
  <c r="K349" i="4"/>
  <c r="K347" i="4"/>
  <c r="K345" i="4"/>
  <c r="K343" i="4"/>
  <c r="K341" i="4"/>
  <c r="K339" i="4"/>
  <c r="K337" i="4"/>
  <c r="K335" i="4"/>
  <c r="K333" i="4"/>
  <c r="K331" i="4"/>
  <c r="K329" i="4"/>
  <c r="K327" i="4"/>
  <c r="K325" i="4"/>
  <c r="K323" i="4"/>
  <c r="K321" i="4"/>
  <c r="K319" i="4"/>
  <c r="K317" i="4"/>
  <c r="K315" i="4"/>
  <c r="K313" i="4"/>
  <c r="K311" i="4"/>
  <c r="K309" i="4"/>
  <c r="K307" i="4"/>
  <c r="K305" i="4"/>
  <c r="K303" i="4"/>
  <c r="K301" i="4"/>
  <c r="K299" i="4"/>
  <c r="K297" i="4"/>
  <c r="K295" i="4"/>
  <c r="K293" i="4"/>
  <c r="K291" i="4"/>
  <c r="K289" i="4"/>
  <c r="K287" i="4"/>
  <c r="K285" i="4"/>
  <c r="K283" i="4"/>
  <c r="K281" i="4"/>
  <c r="K279" i="4"/>
  <c r="K277" i="4"/>
  <c r="K275" i="4"/>
  <c r="K273" i="4"/>
  <c r="K271" i="4"/>
  <c r="K269" i="4"/>
  <c r="K267" i="4"/>
  <c r="K265" i="4"/>
  <c r="K263" i="4"/>
  <c r="K261" i="4"/>
  <c r="K259" i="4"/>
  <c r="K257" i="4"/>
  <c r="K255" i="4"/>
  <c r="K253" i="4"/>
  <c r="K251" i="4"/>
  <c r="K249" i="4"/>
  <c r="K247" i="4"/>
  <c r="K245" i="4"/>
  <c r="K243" i="4"/>
  <c r="K241" i="4"/>
  <c r="K239" i="4"/>
  <c r="K237" i="4"/>
  <c r="K235" i="4"/>
  <c r="K233" i="4"/>
  <c r="K231" i="4"/>
  <c r="K229" i="4"/>
  <c r="K227" i="4"/>
  <c r="K225" i="4"/>
  <c r="K223" i="4"/>
  <c r="K221" i="4"/>
  <c r="K219" i="4"/>
  <c r="K217" i="4"/>
  <c r="K215" i="4"/>
  <c r="K213" i="4"/>
  <c r="K211" i="4"/>
  <c r="K209" i="4"/>
  <c r="K207" i="4"/>
  <c r="K205" i="4"/>
  <c r="K203" i="4"/>
  <c r="K201" i="4"/>
  <c r="K199" i="4"/>
  <c r="K197" i="4"/>
  <c r="K195" i="4"/>
  <c r="K193" i="4"/>
  <c r="K191" i="4"/>
  <c r="K189" i="4"/>
  <c r="K187" i="4"/>
  <c r="K185" i="4"/>
  <c r="K183" i="4"/>
  <c r="K181" i="4"/>
  <c r="K179" i="4"/>
  <c r="K177" i="4"/>
  <c r="K175" i="4"/>
  <c r="K173" i="4"/>
  <c r="K171" i="4"/>
  <c r="K169" i="4"/>
  <c r="K167" i="4"/>
  <c r="K165" i="4"/>
  <c r="K163" i="4"/>
  <c r="K161" i="4"/>
  <c r="K159" i="4"/>
  <c r="K157" i="4"/>
  <c r="K155" i="4"/>
  <c r="K153" i="4"/>
  <c r="K151" i="4"/>
  <c r="K149" i="4"/>
  <c r="K147" i="4"/>
  <c r="K145" i="4"/>
  <c r="K143" i="4"/>
  <c r="K141" i="4"/>
  <c r="K139" i="4"/>
  <c r="K137" i="4"/>
  <c r="K135" i="4"/>
  <c r="K133" i="4"/>
  <c r="K131" i="4"/>
  <c r="K129" i="4"/>
  <c r="K127" i="4"/>
  <c r="K125" i="4"/>
  <c r="K123" i="4"/>
  <c r="K121" i="4"/>
  <c r="K119" i="4"/>
  <c r="K117" i="4"/>
  <c r="K115" i="4"/>
  <c r="K113" i="4"/>
  <c r="K111" i="4"/>
  <c r="K109" i="4"/>
  <c r="K107" i="4"/>
  <c r="K105" i="4"/>
  <c r="K103" i="4"/>
  <c r="K101" i="4"/>
  <c r="K99" i="4"/>
  <c r="K97" i="4"/>
  <c r="K95" i="4"/>
  <c r="K93" i="4"/>
  <c r="K91" i="4"/>
  <c r="K89" i="4"/>
  <c r="K87" i="4"/>
  <c r="K85" i="4"/>
  <c r="K83" i="4"/>
  <c r="K81" i="4"/>
  <c r="K79" i="4"/>
  <c r="K77" i="4"/>
  <c r="K75" i="4"/>
  <c r="K73" i="4"/>
  <c r="K71" i="4"/>
  <c r="K69" i="4"/>
  <c r="K67" i="4"/>
  <c r="K65" i="4"/>
  <c r="K63" i="4"/>
  <c r="K61" i="4"/>
  <c r="K59" i="4"/>
  <c r="K57" i="4"/>
  <c r="K55" i="4"/>
  <c r="K53" i="4"/>
  <c r="K51" i="4"/>
  <c r="K49" i="4"/>
  <c r="K47" i="4"/>
  <c r="K45" i="4"/>
  <c r="K43" i="4"/>
  <c r="K41" i="4"/>
  <c r="K39" i="4"/>
  <c r="K37" i="4"/>
  <c r="K35" i="4"/>
  <c r="K33" i="4"/>
  <c r="K31" i="4"/>
  <c r="K29" i="4"/>
  <c r="K27" i="4"/>
  <c r="K25" i="4"/>
  <c r="K23" i="4"/>
  <c r="K21" i="4"/>
  <c r="K19" i="4"/>
  <c r="K17" i="4"/>
  <c r="K15" i="4"/>
  <c r="K13" i="4"/>
  <c r="K11" i="4"/>
  <c r="K9" i="4"/>
  <c r="K7" i="4"/>
  <c r="L5" i="4"/>
  <c r="L4" i="4" s="1"/>
  <c r="K5" i="4"/>
  <c r="B7" i="1"/>
  <c r="B9" i="1" s="1"/>
  <c r="M49" i="5" s="1"/>
  <c r="F49" i="6" s="1"/>
  <c r="B3" i="1"/>
  <c r="B2" i="1" s="1"/>
  <c r="H7" i="6" l="1"/>
  <c r="H15" i="6"/>
  <c r="H32" i="6"/>
  <c r="H8" i="6"/>
  <c r="H10" i="6"/>
  <c r="H3" i="6"/>
  <c r="H11" i="6"/>
  <c r="H35" i="6"/>
  <c r="H14" i="6"/>
  <c r="H9" i="6"/>
  <c r="M15" i="5"/>
  <c r="F15" i="6" s="1"/>
  <c r="M37" i="5"/>
  <c r="F37" i="6" s="1"/>
  <c r="H50" i="5"/>
  <c r="E50" i="6" s="1"/>
  <c r="J50" i="6" s="1"/>
  <c r="M6" i="5"/>
  <c r="F6" i="6" s="1"/>
  <c r="M8" i="5"/>
  <c r="F8" i="6" s="1"/>
  <c r="H11" i="5"/>
  <c r="E11" i="6" s="1"/>
  <c r="H16" i="5"/>
  <c r="E16" i="6" s="1"/>
  <c r="H21" i="5"/>
  <c r="E21" i="6" s="1"/>
  <c r="M25" i="5"/>
  <c r="F25" i="6" s="1"/>
  <c r="M30" i="5"/>
  <c r="F30" i="6" s="1"/>
  <c r="M35" i="5"/>
  <c r="F35" i="6" s="1"/>
  <c r="H38" i="5"/>
  <c r="E38" i="6" s="1"/>
  <c r="M40" i="5"/>
  <c r="F40" i="6" s="1"/>
  <c r="H43" i="5"/>
  <c r="E43" i="6" s="1"/>
  <c r="H48" i="5"/>
  <c r="E48" i="6" s="1"/>
  <c r="H53" i="5"/>
  <c r="E53" i="6" s="1"/>
  <c r="H55" i="5"/>
  <c r="E55" i="6" s="1"/>
  <c r="H51" i="6"/>
  <c r="H18" i="5"/>
  <c r="E18" i="6" s="1"/>
  <c r="M20" i="5"/>
  <c r="F20" i="6" s="1"/>
  <c r="H23" i="5"/>
  <c r="E23" i="6" s="1"/>
  <c r="H28" i="5"/>
  <c r="E28" i="6" s="1"/>
  <c r="M42" i="5"/>
  <c r="F42" i="6" s="1"/>
  <c r="M52" i="5"/>
  <c r="F52" i="6" s="1"/>
  <c r="M4" i="5"/>
  <c r="F4" i="6" s="1"/>
  <c r="H7" i="5"/>
  <c r="E7" i="6" s="1"/>
  <c r="H9" i="5"/>
  <c r="E9" i="6" s="1"/>
  <c r="J9" i="6" s="1"/>
  <c r="K11" i="5"/>
  <c r="M13" i="5"/>
  <c r="F13" i="6" s="1"/>
  <c r="M18" i="5"/>
  <c r="F18" i="6" s="1"/>
  <c r="M23" i="5"/>
  <c r="F23" i="6" s="1"/>
  <c r="H26" i="5"/>
  <c r="E26" i="6" s="1"/>
  <c r="J26" i="6" s="1"/>
  <c r="M28" i="5"/>
  <c r="F28" i="6" s="1"/>
  <c r="H31" i="5"/>
  <c r="E31" i="6" s="1"/>
  <c r="J31" i="6" s="1"/>
  <c r="H36" i="5"/>
  <c r="E36" i="6" s="1"/>
  <c r="J36" i="6" s="1"/>
  <c r="K38" i="5"/>
  <c r="H41" i="5"/>
  <c r="E41" i="6" s="1"/>
  <c r="M45" i="5"/>
  <c r="F45" i="6" s="1"/>
  <c r="J45" i="6" s="1"/>
  <c r="K48" i="5"/>
  <c r="M50" i="5"/>
  <c r="F50" i="6" s="1"/>
  <c r="H52" i="6"/>
  <c r="M10" i="5"/>
  <c r="F10" i="6" s="1"/>
  <c r="H3" i="5"/>
  <c r="E3" i="6" s="1"/>
  <c r="J3" i="6" s="1"/>
  <c r="H5" i="5"/>
  <c r="E5" i="6" s="1"/>
  <c r="J5" i="6" s="1"/>
  <c r="M11" i="5"/>
  <c r="F11" i="6" s="1"/>
  <c r="H14" i="5"/>
  <c r="E14" i="6" s="1"/>
  <c r="M16" i="5"/>
  <c r="F16" i="6" s="1"/>
  <c r="H19" i="5"/>
  <c r="E19" i="6" s="1"/>
  <c r="H24" i="5"/>
  <c r="E24" i="6" s="1"/>
  <c r="K26" i="5"/>
  <c r="H29" i="5"/>
  <c r="E29" i="6" s="1"/>
  <c r="M33" i="5"/>
  <c r="F33" i="6" s="1"/>
  <c r="J33" i="6" s="1"/>
  <c r="M38" i="5"/>
  <c r="F38" i="6" s="1"/>
  <c r="M43" i="5"/>
  <c r="F43" i="6" s="1"/>
  <c r="H46" i="5"/>
  <c r="E46" i="6" s="1"/>
  <c r="M48" i="5"/>
  <c r="F48" i="6" s="1"/>
  <c r="H51" i="5"/>
  <c r="E51" i="6" s="1"/>
  <c r="M55" i="5"/>
  <c r="F55" i="6" s="1"/>
  <c r="H4" i="5"/>
  <c r="E4" i="6" s="1"/>
  <c r="J4" i="6" s="1"/>
  <c r="M54" i="5"/>
  <c r="F54" i="6" s="1"/>
  <c r="M7" i="5"/>
  <c r="F7" i="6" s="1"/>
  <c r="H12" i="5"/>
  <c r="E12" i="6" s="1"/>
  <c r="K14" i="5"/>
  <c r="H17" i="5"/>
  <c r="E17" i="6" s="1"/>
  <c r="K19" i="5"/>
  <c r="M21" i="5"/>
  <c r="F21" i="6" s="1"/>
  <c r="K24" i="5"/>
  <c r="M26" i="5"/>
  <c r="F26" i="6" s="1"/>
  <c r="M31" i="5"/>
  <c r="F31" i="6" s="1"/>
  <c r="H34" i="5"/>
  <c r="E34" i="6" s="1"/>
  <c r="M36" i="5"/>
  <c r="F36" i="6" s="1"/>
  <c r="H39" i="5"/>
  <c r="E39" i="6" s="1"/>
  <c r="H44" i="5"/>
  <c r="E44" i="6" s="1"/>
  <c r="H49" i="5"/>
  <c r="E49" i="6" s="1"/>
  <c r="J49" i="6" s="1"/>
  <c r="K51" i="5"/>
  <c r="H56" i="5"/>
  <c r="E56" i="6" s="1"/>
  <c r="J56" i="6" s="1"/>
  <c r="M47" i="5"/>
  <c r="F47" i="6" s="1"/>
  <c r="L7" i="4"/>
  <c r="H8" i="5"/>
  <c r="E8" i="6" s="1"/>
  <c r="J8" i="6" s="1"/>
  <c r="M9" i="5"/>
  <c r="F9" i="6" s="1"/>
  <c r="K12" i="5"/>
  <c r="M14" i="5"/>
  <c r="F14" i="6" s="1"/>
  <c r="M19" i="5"/>
  <c r="F19" i="6" s="1"/>
  <c r="H22" i="5"/>
  <c r="E22" i="6" s="1"/>
  <c r="J22" i="6" s="1"/>
  <c r="M24" i="5"/>
  <c r="F24" i="6" s="1"/>
  <c r="H27" i="5"/>
  <c r="E27" i="6" s="1"/>
  <c r="J27" i="6" s="1"/>
  <c r="H32" i="5"/>
  <c r="E32" i="6" s="1"/>
  <c r="K34" i="5"/>
  <c r="H37" i="5"/>
  <c r="E37" i="6" s="1"/>
  <c r="M41" i="5"/>
  <c r="F41" i="6" s="1"/>
  <c r="M46" i="5"/>
  <c r="F46" i="6" s="1"/>
  <c r="J46" i="6" s="1"/>
  <c r="M51" i="5"/>
  <c r="F51" i="6" s="1"/>
  <c r="M53" i="5"/>
  <c r="F53" i="6" s="1"/>
  <c r="J53" i="6" s="1"/>
  <c r="M5" i="5"/>
  <c r="F5" i="6" s="1"/>
  <c r="H10" i="5"/>
  <c r="E10" i="6" s="1"/>
  <c r="M12" i="5"/>
  <c r="F12" i="6" s="1"/>
  <c r="H15" i="5"/>
  <c r="E15" i="6" s="1"/>
  <c r="H20" i="5"/>
  <c r="E20" i="6" s="1"/>
  <c r="J20" i="6" s="1"/>
  <c r="K22" i="5"/>
  <c r="H25" i="5"/>
  <c r="E25" i="6" s="1"/>
  <c r="K27" i="5"/>
  <c r="M29" i="5"/>
  <c r="F29" i="6" s="1"/>
  <c r="M34" i="5"/>
  <c r="F34" i="6" s="1"/>
  <c r="M39" i="5"/>
  <c r="F39" i="6" s="1"/>
  <c r="H42" i="5"/>
  <c r="E42" i="6" s="1"/>
  <c r="J42" i="6" s="1"/>
  <c r="M44" i="5"/>
  <c r="F44" i="6" s="1"/>
  <c r="J44" i="6" s="1"/>
  <c r="H47" i="5"/>
  <c r="E47" i="6" s="1"/>
  <c r="J47" i="6" s="1"/>
  <c r="H52" i="5"/>
  <c r="E52" i="6" s="1"/>
  <c r="J52" i="6" s="1"/>
  <c r="H54" i="5"/>
  <c r="E54" i="6" s="1"/>
  <c r="M56" i="5"/>
  <c r="F56" i="6" s="1"/>
  <c r="H48" i="6"/>
  <c r="H33" i="5"/>
  <c r="E33" i="6" s="1"/>
  <c r="M3" i="5"/>
  <c r="F3" i="6" s="1"/>
  <c r="H6" i="5"/>
  <c r="E6" i="6" s="1"/>
  <c r="J6" i="6" s="1"/>
  <c r="K10" i="5"/>
  <c r="H13" i="5"/>
  <c r="E13" i="6" s="1"/>
  <c r="J13" i="6" s="1"/>
  <c r="K15" i="5"/>
  <c r="M17" i="5"/>
  <c r="F17" i="6" s="1"/>
  <c r="M22" i="5"/>
  <c r="F22" i="6" s="1"/>
  <c r="M27" i="5"/>
  <c r="F27" i="6" s="1"/>
  <c r="H30" i="5"/>
  <c r="E30" i="6" s="1"/>
  <c r="M32" i="5"/>
  <c r="F32" i="6" s="1"/>
  <c r="J32" i="6" s="1"/>
  <c r="H35" i="5"/>
  <c r="E35" i="6" s="1"/>
  <c r="H40" i="5"/>
  <c r="E40" i="6" s="1"/>
  <c r="H45" i="5"/>
  <c r="E45" i="6" s="1"/>
  <c r="J35" i="6" l="1"/>
  <c r="J7" i="6"/>
  <c r="J41" i="6"/>
  <c r="J25" i="6"/>
  <c r="J28" i="6"/>
  <c r="J51" i="6"/>
  <c r="J37" i="6"/>
  <c r="J54" i="6"/>
  <c r="J21" i="6"/>
  <c r="J16" i="6"/>
  <c r="J23" i="6"/>
  <c r="J55" i="6"/>
  <c r="J30" i="6"/>
  <c r="K28" i="5"/>
  <c r="K35" i="5"/>
  <c r="J24" i="6"/>
  <c r="J18" i="6"/>
  <c r="K50" i="5"/>
  <c r="K25" i="5"/>
  <c r="K52" i="5"/>
  <c r="K20" i="5"/>
  <c r="J15" i="6"/>
  <c r="K40" i="5"/>
  <c r="J19" i="6"/>
  <c r="J48" i="6"/>
  <c r="L9" i="4"/>
  <c r="L11" i="4" s="1"/>
  <c r="L13" i="4" s="1"/>
  <c r="J17" i="6"/>
  <c r="J39" i="6"/>
  <c r="J43" i="6"/>
  <c r="K18" i="5"/>
  <c r="K49" i="5"/>
  <c r="J40" i="6"/>
  <c r="J10" i="6"/>
  <c r="J14" i="6"/>
  <c r="K21" i="5"/>
  <c r="J29" i="6"/>
  <c r="J34" i="6"/>
  <c r="J12" i="6"/>
  <c r="K36" i="5"/>
  <c r="J38" i="6"/>
  <c r="J11" i="6"/>
  <c r="K13" i="5"/>
  <c r="L8" i="4" l="1"/>
  <c r="L12" i="4"/>
  <c r="L15" i="4"/>
  <c r="L17" i="4" s="1"/>
  <c r="L16" i="4" l="1"/>
  <c r="L19" i="4"/>
  <c r="L21" i="4" s="1"/>
  <c r="L20" i="4" l="1"/>
  <c r="L23" i="4"/>
  <c r="L25" i="4" l="1"/>
  <c r="L27" i="4" s="1"/>
  <c r="L29" i="4" s="1"/>
  <c r="L24" i="4"/>
  <c r="L28" i="4" l="1"/>
  <c r="L31" i="4"/>
  <c r="L33" i="4" l="1"/>
  <c r="L35" i="4" s="1"/>
  <c r="L37" i="4" s="1"/>
  <c r="L32" i="4"/>
  <c r="L36" i="4" l="1"/>
  <c r="L39" i="4"/>
  <c r="L41" i="4" s="1"/>
  <c r="L40" i="4" l="1"/>
  <c r="L43" i="4"/>
  <c r="L45" i="4" s="1"/>
  <c r="L44" i="4" l="1"/>
  <c r="L47" i="4"/>
  <c r="L49" i="4" s="1"/>
  <c r="L48" i="4" l="1"/>
  <c r="L51" i="4"/>
  <c r="L53" i="4" s="1"/>
  <c r="L52" i="4" l="1"/>
  <c r="L55" i="4"/>
  <c r="L57" i="4" l="1"/>
  <c r="L59" i="4" s="1"/>
  <c r="L61" i="4" l="1"/>
  <c r="L63" i="4" s="1"/>
  <c r="L65" i="4" s="1"/>
  <c r="L60" i="4"/>
  <c r="L56" i="4"/>
  <c r="L64" i="4" l="1"/>
  <c r="L67" i="4"/>
  <c r="L69" i="4" l="1"/>
  <c r="L71" i="4" s="1"/>
  <c r="L72" i="4" l="1"/>
  <c r="L73" i="4"/>
  <c r="L75" i="4" s="1"/>
  <c r="L68" i="4"/>
  <c r="L77" i="4" l="1"/>
  <c r="L79" i="4" s="1"/>
  <c r="L76" i="4"/>
  <c r="L81" i="4" l="1"/>
  <c r="L83" i="4" s="1"/>
  <c r="L85" i="4" l="1"/>
  <c r="L87" i="4" s="1"/>
  <c r="L89" i="4" s="1"/>
  <c r="L80" i="4"/>
  <c r="L88" i="4" l="1"/>
  <c r="L91" i="4"/>
  <c r="L93" i="4" s="1"/>
  <c r="L84" i="4"/>
  <c r="L92" i="4" l="1"/>
  <c r="L95" i="4"/>
  <c r="L97" i="4" s="1"/>
  <c r="L96" i="4" l="1"/>
  <c r="L99" i="4"/>
  <c r="L101" i="4" l="1"/>
  <c r="L103" i="4" s="1"/>
  <c r="L100" i="4"/>
  <c r="L104" i="4" l="1"/>
  <c r="L105" i="4"/>
  <c r="L107" i="4" s="1"/>
  <c r="L108" i="4" l="1"/>
  <c r="L109" i="4"/>
  <c r="L111" i="4" s="1"/>
  <c r="L113" i="4" l="1"/>
  <c r="L115" i="4" s="1"/>
  <c r="L112" i="4"/>
  <c r="L117" i="4" l="1"/>
  <c r="L119" i="4" s="1"/>
  <c r="L121" i="4" l="1"/>
  <c r="L123" i="4" s="1"/>
  <c r="L120" i="4"/>
  <c r="L116" i="4"/>
  <c r="L125" i="4" l="1"/>
  <c r="L127" i="4" s="1"/>
  <c r="L124" i="4"/>
  <c r="L129" i="4" l="1"/>
  <c r="L131" i="4" s="1"/>
  <c r="L133" i="4" l="1"/>
  <c r="L135" i="4" s="1"/>
  <c r="L132" i="4"/>
  <c r="L128" i="4"/>
  <c r="L137" i="4" l="1"/>
  <c r="L139" i="4" s="1"/>
  <c r="L136" i="4"/>
  <c r="L141" i="4" l="1"/>
  <c r="L143" i="4" s="1"/>
  <c r="L145" i="4" l="1"/>
  <c r="L147" i="4" s="1"/>
  <c r="L144" i="4"/>
  <c r="L140" i="4"/>
  <c r="L149" i="4" l="1"/>
  <c r="L151" i="4" s="1"/>
  <c r="L153" i="4" l="1"/>
  <c r="L155" i="4" s="1"/>
  <c r="L152" i="4"/>
  <c r="L148" i="4"/>
  <c r="L157" i="4" l="1"/>
  <c r="L159" i="4" s="1"/>
  <c r="L156" i="4"/>
  <c r="L161" i="4" l="1"/>
  <c r="L163" i="4" s="1"/>
  <c r="L160" i="4"/>
  <c r="L165" i="4" l="1"/>
  <c r="L167" i="4" s="1"/>
  <c r="L164" i="4"/>
  <c r="L169" i="4" l="1"/>
  <c r="L171" i="4" s="1"/>
  <c r="L168" i="4"/>
  <c r="L173" i="4" l="1"/>
  <c r="L175" i="4" s="1"/>
  <c r="L172" i="4"/>
  <c r="L177" i="4" l="1"/>
  <c r="L179" i="4" s="1"/>
  <c r="L176" i="4"/>
  <c r="L181" i="4" l="1"/>
  <c r="L183" i="4" s="1"/>
  <c r="L180" i="4"/>
  <c r="L185" i="4" l="1"/>
  <c r="L187" i="4" s="1"/>
  <c r="L184" i="4"/>
  <c r="L189" i="4" l="1"/>
  <c r="L191" i="4" s="1"/>
  <c r="L193" i="4" l="1"/>
  <c r="L195" i="4" s="1"/>
  <c r="L192" i="4"/>
  <c r="L188" i="4"/>
  <c r="L197" i="4" l="1"/>
  <c r="L199" i="4" s="1"/>
  <c r="L196" i="4"/>
  <c r="L201" i="4" l="1"/>
  <c r="L203" i="4" s="1"/>
  <c r="L200" i="4"/>
  <c r="L205" i="4" l="1"/>
  <c r="L207" i="4" s="1"/>
  <c r="L204" i="4"/>
  <c r="L209" i="4" l="1"/>
  <c r="L211" i="4" s="1"/>
  <c r="L213" i="4" l="1"/>
  <c r="L215" i="4" s="1"/>
  <c r="L212" i="4"/>
  <c r="L208" i="4"/>
  <c r="L217" i="4" l="1"/>
  <c r="L219" i="4" s="1"/>
  <c r="L216" i="4"/>
  <c r="L221" i="4" l="1"/>
  <c r="L223" i="4" s="1"/>
  <c r="L220" i="4"/>
  <c r="L225" i="4" l="1"/>
  <c r="L227" i="4" s="1"/>
  <c r="L224" i="4"/>
  <c r="L229" i="4" l="1"/>
  <c r="L231" i="4" s="1"/>
  <c r="L233" i="4" l="1"/>
  <c r="L235" i="4" s="1"/>
  <c r="L232" i="4"/>
  <c r="L228" i="4"/>
  <c r="L237" i="4" l="1"/>
  <c r="L239" i="4" s="1"/>
  <c r="L236" i="4"/>
  <c r="L241" i="4" l="1"/>
  <c r="L243" i="4" s="1"/>
  <c r="L240" i="4"/>
  <c r="L245" i="4" l="1"/>
  <c r="L247" i="4" s="1"/>
  <c r="L244" i="4"/>
  <c r="L249" i="4" l="1"/>
  <c r="L251" i="4" s="1"/>
  <c r="L248" i="4"/>
  <c r="L253" i="4" l="1"/>
  <c r="L255" i="4" s="1"/>
  <c r="L252" i="4"/>
  <c r="L257" i="4" l="1"/>
  <c r="L259" i="4" s="1"/>
  <c r="L256" i="4"/>
  <c r="L261" i="4" l="1"/>
  <c r="L263" i="4" s="1"/>
  <c r="L260" i="4"/>
  <c r="L265" i="4" l="1"/>
  <c r="L267" i="4" s="1"/>
  <c r="L264" i="4"/>
  <c r="L269" i="4" l="1"/>
  <c r="L271" i="4" s="1"/>
  <c r="L268" i="4"/>
  <c r="L273" i="4" l="1"/>
  <c r="L275" i="4" s="1"/>
  <c r="L272" i="4"/>
  <c r="L277" i="4" l="1"/>
  <c r="L279" i="4" s="1"/>
  <c r="L276" i="4"/>
  <c r="L281" i="4" l="1"/>
  <c r="L283" i="4" s="1"/>
  <c r="L280" i="4"/>
  <c r="L285" i="4" l="1"/>
  <c r="L287" i="4" s="1"/>
  <c r="L284" i="4"/>
  <c r="L289" i="4" l="1"/>
  <c r="L291" i="4" s="1"/>
  <c r="L288" i="4"/>
  <c r="L293" i="4" l="1"/>
  <c r="L295" i="4" s="1"/>
  <c r="L292" i="4"/>
  <c r="L297" i="4" l="1"/>
  <c r="L299" i="4" s="1"/>
  <c r="L296" i="4"/>
  <c r="L301" i="4" l="1"/>
  <c r="L303" i="4" s="1"/>
  <c r="L300" i="4"/>
  <c r="L305" i="4" l="1"/>
  <c r="L307" i="4" s="1"/>
  <c r="L304" i="4"/>
  <c r="L309" i="4" l="1"/>
  <c r="L311" i="4" s="1"/>
  <c r="L308" i="4"/>
  <c r="L313" i="4" l="1"/>
  <c r="L315" i="4" s="1"/>
  <c r="L312" i="4"/>
  <c r="L317" i="4" l="1"/>
  <c r="L319" i="4" s="1"/>
  <c r="L316" i="4"/>
  <c r="L321" i="4" l="1"/>
  <c r="L323" i="4" s="1"/>
  <c r="L320" i="4"/>
  <c r="L325" i="4" l="1"/>
  <c r="L327" i="4" s="1"/>
  <c r="L324" i="4"/>
  <c r="L329" i="4" l="1"/>
  <c r="L331" i="4" s="1"/>
  <c r="L328" i="4"/>
  <c r="L333" i="4" l="1"/>
  <c r="L335" i="4" s="1"/>
  <c r="L332" i="4"/>
  <c r="L337" i="4" l="1"/>
  <c r="L339" i="4" s="1"/>
  <c r="L336" i="4"/>
  <c r="L341" i="4" l="1"/>
  <c r="L343" i="4" s="1"/>
  <c r="L340" i="4"/>
  <c r="L345" i="4" l="1"/>
  <c r="L347" i="4" s="1"/>
  <c r="L344" i="4"/>
  <c r="L349" i="4" l="1"/>
  <c r="L351" i="4" s="1"/>
  <c r="L348" i="4"/>
  <c r="L353" i="4" l="1"/>
  <c r="L355" i="4" s="1"/>
  <c r="L352" i="4"/>
  <c r="L357" i="4" l="1"/>
  <c r="L359" i="4" s="1"/>
  <c r="L356" i="4"/>
  <c r="L361" i="4" l="1"/>
  <c r="L363" i="4" s="1"/>
  <c r="L360" i="4"/>
  <c r="L365" i="4" l="1"/>
  <c r="L367" i="4" s="1"/>
  <c r="L364" i="4"/>
  <c r="L369" i="4" l="1"/>
  <c r="L371" i="4" s="1"/>
  <c r="L368" i="4"/>
  <c r="L373" i="4" l="1"/>
  <c r="L375" i="4" s="1"/>
  <c r="L372" i="4"/>
  <c r="L377" i="4" l="1"/>
  <c r="L379" i="4" s="1"/>
  <c r="L376" i="4"/>
  <c r="L381" i="4" l="1"/>
  <c r="L383" i="4" s="1"/>
  <c r="L380" i="4"/>
  <c r="L385" i="4" l="1"/>
  <c r="L387" i="4" s="1"/>
  <c r="L384" i="4"/>
  <c r="L389" i="4" l="1"/>
  <c r="L391" i="4" s="1"/>
  <c r="L388" i="4"/>
  <c r="L393" i="4" l="1"/>
  <c r="L395" i="4" s="1"/>
  <c r="L392" i="4"/>
  <c r="L397" i="4" l="1"/>
  <c r="L399" i="4" s="1"/>
  <c r="L396" i="4"/>
  <c r="L401" i="4" l="1"/>
  <c r="L403" i="4" s="1"/>
  <c r="L405" i="4" l="1"/>
  <c r="L407" i="4" s="1"/>
  <c r="L404" i="4"/>
  <c r="L400" i="4"/>
  <c r="L409" i="4" l="1"/>
  <c r="L411" i="4" s="1"/>
  <c r="L408" i="4"/>
  <c r="L413" i="4" l="1"/>
  <c r="L415" i="4" s="1"/>
  <c r="L412" i="4"/>
  <c r="L417" i="4" l="1"/>
  <c r="L419" i="4" s="1"/>
  <c r="L416" i="4"/>
  <c r="L421" i="4" l="1"/>
  <c r="L423" i="4" s="1"/>
  <c r="L420" i="4"/>
  <c r="L425" i="4" l="1"/>
  <c r="L427" i="4" s="1"/>
  <c r="L424" i="4"/>
  <c r="L429" i="4" l="1"/>
  <c r="L431" i="4" s="1"/>
  <c r="L428" i="4"/>
  <c r="L433" i="4" l="1"/>
  <c r="L435" i="4" s="1"/>
  <c r="L432" i="4"/>
  <c r="L437" i="4" l="1"/>
  <c r="L439" i="4" s="1"/>
  <c r="L436" i="4"/>
  <c r="L441" i="4" l="1"/>
  <c r="L443" i="4" s="1"/>
  <c r="L440" i="4"/>
  <c r="L445" i="4" l="1"/>
  <c r="L447" i="4" s="1"/>
  <c r="L444" i="4"/>
  <c r="L449" i="4" l="1"/>
  <c r="L451" i="4" s="1"/>
  <c r="L448" i="4"/>
  <c r="L453" i="4" l="1"/>
  <c r="L455" i="4" s="1"/>
  <c r="L452" i="4"/>
  <c r="L457" i="4" l="1"/>
  <c r="L459" i="4" s="1"/>
  <c r="L456" i="4"/>
  <c r="L461" i="4" l="1"/>
  <c r="L463" i="4" s="1"/>
  <c r="L460" i="4"/>
  <c r="L465" i="4" l="1"/>
  <c r="L467" i="4" s="1"/>
  <c r="L464" i="4"/>
  <c r="L469" i="4" l="1"/>
  <c r="L471" i="4" s="1"/>
  <c r="L468" i="4"/>
  <c r="L473" i="4" l="1"/>
  <c r="L475" i="4" s="1"/>
  <c r="L472" i="4"/>
  <c r="L477" i="4" l="1"/>
  <c r="L479" i="4" s="1"/>
  <c r="L476" i="4"/>
  <c r="L481" i="4" l="1"/>
  <c r="L483" i="4" s="1"/>
  <c r="L480" i="4"/>
  <c r="L485" i="4" l="1"/>
  <c r="L487" i="4" s="1"/>
  <c r="L484" i="4"/>
  <c r="L489" i="4" l="1"/>
  <c r="L491" i="4" s="1"/>
  <c r="L488" i="4"/>
  <c r="L493" i="4" l="1"/>
  <c r="L495" i="4" s="1"/>
  <c r="L492" i="4"/>
  <c r="L497" i="4" l="1"/>
  <c r="L499" i="4" s="1"/>
  <c r="L496" i="4"/>
  <c r="L501" i="4" l="1"/>
  <c r="L503" i="4" s="1"/>
  <c r="L500" i="4"/>
  <c r="L505" i="4" l="1"/>
  <c r="L507" i="4" s="1"/>
  <c r="L504" i="4"/>
  <c r="L509" i="4" l="1"/>
  <c r="L511" i="4" s="1"/>
  <c r="L508" i="4"/>
  <c r="L513" i="4" l="1"/>
  <c r="L515" i="4" s="1"/>
  <c r="L512" i="4"/>
  <c r="L517" i="4" l="1"/>
  <c r="L519" i="4" s="1"/>
  <c r="L516" i="4"/>
  <c r="L521" i="4" l="1"/>
  <c r="L523" i="4" s="1"/>
  <c r="L520" i="4"/>
  <c r="L525" i="4" l="1"/>
  <c r="L527" i="4" s="1"/>
  <c r="L524" i="4"/>
  <c r="L529" i="4" l="1"/>
  <c r="L531" i="4" s="1"/>
  <c r="L528" i="4"/>
  <c r="L533" i="4" l="1"/>
  <c r="L535" i="4" s="1"/>
  <c r="L532" i="4"/>
  <c r="L537" i="4" l="1"/>
  <c r="L539" i="4" s="1"/>
  <c r="L536" i="4"/>
  <c r="L541" i="4" l="1"/>
  <c r="L543" i="4" s="1"/>
  <c r="L540" i="4"/>
  <c r="L545" i="4" l="1"/>
  <c r="L547" i="4" s="1"/>
  <c r="L544" i="4"/>
  <c r="L549" i="4" l="1"/>
  <c r="L551" i="4" s="1"/>
  <c r="L548" i="4"/>
  <c r="L553" i="4" l="1"/>
  <c r="L555" i="4" s="1"/>
  <c r="L552" i="4"/>
  <c r="L557" i="4" l="1"/>
  <c r="L559" i="4" s="1"/>
  <c r="L556" i="4"/>
  <c r="L561" i="4" l="1"/>
  <c r="L563" i="4" s="1"/>
  <c r="L560" i="4"/>
  <c r="L565" i="4" l="1"/>
  <c r="L567" i="4" s="1"/>
  <c r="L564" i="4"/>
  <c r="L569" i="4" l="1"/>
  <c r="L571" i="4" s="1"/>
  <c r="L568" i="4"/>
  <c r="L573" i="4" l="1"/>
  <c r="L575" i="4" s="1"/>
  <c r="L572" i="4"/>
  <c r="L577" i="4" l="1"/>
  <c r="L579" i="4" s="1"/>
  <c r="L576" i="4"/>
  <c r="L581" i="4" l="1"/>
  <c r="L583" i="4" s="1"/>
  <c r="L580" i="4"/>
  <c r="L585" i="4" l="1"/>
  <c r="L587" i="4" s="1"/>
  <c r="L584" i="4"/>
  <c r="L589" i="4" l="1"/>
  <c r="L58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Test" description="Connection to the 'MTest' query in the workbook." type="5" refreshedVersion="8" background="1" saveData="1">
    <dbPr connection="Provider=Microsoft.Mashup.OleDb.1;Data Source=$Workbook$;Location=MTest;Extended Properties=&quot;&quot;" command="SELECT * FROM [MTest]"/>
  </connection>
  <connection id="2" xr16:uid="{00000000-0015-0000-FFFF-FFFF01000000}" keepAlive="1" name="Query - mtest (2)" description="Connection to the 'mtest (2)' query in the workbook." type="5" refreshedVersion="8" background="1" saveData="1">
    <dbPr connection="Provider=Microsoft.Mashup.OleDb.1;Data Source=$Workbook$;Location=&quot;mtest (2)&quot;;Extended Properties=&quot;&quot;" command="SELECT * FROM [mtest (2)]"/>
  </connection>
</connections>
</file>

<file path=xl/sharedStrings.xml><?xml version="1.0" encoding="utf-8"?>
<sst xmlns="http://schemas.openxmlformats.org/spreadsheetml/2006/main" count="6857" uniqueCount="479">
  <si>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</si>
  <si>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</si>
  <si>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</si>
  <si>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</si>
  <si>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</si>
  <si>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</si>
  <si>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</si>
  <si>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</si>
  <si>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</si>
  <si>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U</t>
  </si>
  <si>
    <t>WALL0</t>
  </si>
  <si>
    <t>MARKER</t>
  </si>
  <si>
    <t>NULL</t>
  </si>
  <si>
    <t>C</t>
  </si>
  <si>
    <t>D</t>
  </si>
  <si>
    <t/>
  </si>
  <si>
    <t>M01BV1</t>
  </si>
  <si>
    <t>BV</t>
  </si>
  <si>
    <t>M01PG1</t>
  </si>
  <si>
    <t>PG</t>
  </si>
  <si>
    <t>M01BV2</t>
  </si>
  <si>
    <t>M01LBP</t>
  </si>
  <si>
    <t>LM</t>
  </si>
  <si>
    <t>M01WC1</t>
  </si>
  <si>
    <t>SWIC</t>
  </si>
  <si>
    <t>M01LD1</t>
  </si>
  <si>
    <t>M01D-1</t>
  </si>
  <si>
    <t>RBEND</t>
  </si>
  <si>
    <t>ADB</t>
  </si>
  <si>
    <t>M01D-2</t>
  </si>
  <si>
    <t>M01D-3</t>
  </si>
  <si>
    <t>M01D-4</t>
  </si>
  <si>
    <t>M01D-5</t>
  </si>
  <si>
    <t>M01PG2</t>
  </si>
  <si>
    <t>M01RP1</t>
  </si>
  <si>
    <t>RP</t>
  </si>
  <si>
    <t>M01D-6</t>
  </si>
  <si>
    <t>M01LD7</t>
  </si>
  <si>
    <t>M01D-7</t>
  </si>
  <si>
    <t>M01WC2</t>
  </si>
  <si>
    <t>M01LSHDE</t>
  </si>
  <si>
    <t>M01LSHDW</t>
  </si>
  <si>
    <t>M01SHLD</t>
  </si>
  <si>
    <t>DRIFT</t>
  </si>
  <si>
    <t>3WLam</t>
  </si>
  <si>
    <t>M01TLM1</t>
  </si>
  <si>
    <t>MW1W-1</t>
  </si>
  <si>
    <t>MW1W-2</t>
  </si>
  <si>
    <t>MW1W-3</t>
  </si>
  <si>
    <t>MW1W-4</t>
  </si>
  <si>
    <t>MW1W-5</t>
  </si>
  <si>
    <t>MW1W-6</t>
  </si>
  <si>
    <t>M01LB2</t>
  </si>
  <si>
    <t>M01RP2</t>
  </si>
  <si>
    <t>M01PG3</t>
  </si>
  <si>
    <t>WINDOW</t>
  </si>
  <si>
    <t>WIN</t>
  </si>
  <si>
    <t>MW1SEM</t>
  </si>
  <si>
    <t>SEM</t>
  </si>
  <si>
    <t>MW1WC1</t>
  </si>
  <si>
    <t>MW1LM1</t>
  </si>
  <si>
    <t>MW1TGT</t>
  </si>
  <si>
    <t>TGT</t>
  </si>
  <si>
    <t>M02BEG</t>
  </si>
  <si>
    <t>M02PG1</t>
  </si>
  <si>
    <t>MT2Q1</t>
  </si>
  <si>
    <t>QUAD</t>
  </si>
  <si>
    <t>QQP</t>
  </si>
  <si>
    <t>MT2Q2</t>
  </si>
  <si>
    <t>MT2WD1-1</t>
  </si>
  <si>
    <t>EPB</t>
  </si>
  <si>
    <t>MT2WD1-2</t>
  </si>
  <si>
    <t>MT2WD2-1</t>
  </si>
  <si>
    <t>SDF</t>
  </si>
  <si>
    <t>MT2WD2-2</t>
  </si>
  <si>
    <t>MT2WD2-3</t>
  </si>
  <si>
    <t>MT2V</t>
  </si>
  <si>
    <t>TDTA</t>
  </si>
  <si>
    <t>MT2PG1</t>
  </si>
  <si>
    <t>MW2WC</t>
  </si>
  <si>
    <t>MT2BV1</t>
  </si>
  <si>
    <t>MT2WU-1</t>
  </si>
  <si>
    <t>MT2WU-2</t>
  </si>
  <si>
    <t>MT2WU-3</t>
  </si>
  <si>
    <t>MT2WU-4</t>
  </si>
  <si>
    <t>MT2WU-5</t>
  </si>
  <si>
    <t>M02RP2</t>
  </si>
  <si>
    <t>MT2PG2</t>
  </si>
  <si>
    <t>MT2BV2</t>
  </si>
  <si>
    <t>MT2BV3</t>
  </si>
  <si>
    <t>MT2PG3</t>
  </si>
  <si>
    <t>M02END</t>
  </si>
  <si>
    <t>M03BEG</t>
  </si>
  <si>
    <t>M03BV1</t>
  </si>
  <si>
    <t>MT3Q1</t>
  </si>
  <si>
    <t>QQB</t>
  </si>
  <si>
    <t>PW1C1</t>
  </si>
  <si>
    <t>MT3Q2</t>
  </si>
  <si>
    <t>MT3PG1</t>
  </si>
  <si>
    <t>MT3V</t>
  </si>
  <si>
    <t>VKICK</t>
  </si>
  <si>
    <t>TDTD</t>
  </si>
  <si>
    <t>MT3BV2</t>
  </si>
  <si>
    <t>WALL1</t>
  </si>
  <si>
    <t>MT3PG2</t>
  </si>
  <si>
    <t>MT3BV3</t>
  </si>
  <si>
    <t>MT3BV4</t>
  </si>
  <si>
    <t>MT3PG3</t>
  </si>
  <si>
    <t>WALL2</t>
  </si>
  <si>
    <t>MT3BV5</t>
  </si>
  <si>
    <t>MT3PG4</t>
  </si>
  <si>
    <t>MT3PWC</t>
  </si>
  <si>
    <t>MT3SW</t>
  </si>
  <si>
    <t>MT3Q3</t>
  </si>
  <si>
    <t>MT3Q4</t>
  </si>
  <si>
    <t>MT3W-1</t>
  </si>
  <si>
    <t>MT3U-1</t>
  </si>
  <si>
    <t>EDA</t>
  </si>
  <si>
    <t>MT3U-2</t>
  </si>
  <si>
    <t>MT4PWC</t>
  </si>
  <si>
    <t>MT4SEM</t>
  </si>
  <si>
    <t>IC</t>
  </si>
  <si>
    <t>MT4TGT</t>
  </si>
  <si>
    <t>MT4WIN</t>
  </si>
  <si>
    <t>MT4Q1</t>
  </si>
  <si>
    <t>MT4W-1</t>
  </si>
  <si>
    <t>MT4Q2</t>
  </si>
  <si>
    <t>MT4W-2</t>
  </si>
  <si>
    <t>MT4Q3</t>
  </si>
  <si>
    <t>MT4VT</t>
  </si>
  <si>
    <t>MT4FP</t>
  </si>
  <si>
    <t>MT4PB</t>
  </si>
  <si>
    <t>M04RP1</t>
  </si>
  <si>
    <t>MS4PG1</t>
  </si>
  <si>
    <t>MT4PG1</t>
  </si>
  <si>
    <t>MT4HT</t>
  </si>
  <si>
    <t>HKICK</t>
  </si>
  <si>
    <t>MT4Q4</t>
  </si>
  <si>
    <t>MT4Q5</t>
  </si>
  <si>
    <t>MT4Q6</t>
  </si>
  <si>
    <t>MT5FP1</t>
  </si>
  <si>
    <t>D134</t>
  </si>
  <si>
    <t>SCI</t>
  </si>
  <si>
    <t>MT5VT1</t>
  </si>
  <si>
    <t>MT5E-1</t>
  </si>
  <si>
    <t>MT5E-2</t>
  </si>
  <si>
    <t>EDBC</t>
  </si>
  <si>
    <t>MT5E-3</t>
  </si>
  <si>
    <t>MT5E-4</t>
  </si>
  <si>
    <t>MT5E-5</t>
  </si>
  <si>
    <t>M03END</t>
  </si>
  <si>
    <t>M05BEG</t>
  </si>
  <si>
    <t>MT5Q1</t>
  </si>
  <si>
    <t>MT5Q2</t>
  </si>
  <si>
    <t>MT5VT2</t>
  </si>
  <si>
    <t>MT5HT2</t>
  </si>
  <si>
    <t>MT5FP2</t>
  </si>
  <si>
    <t>M05END</t>
  </si>
  <si>
    <t>MT61BEG</t>
  </si>
  <si>
    <t>MT6SC1</t>
  </si>
  <si>
    <t>MT6PWC1</t>
  </si>
  <si>
    <t>TOF_MT61</t>
  </si>
  <si>
    <t>MT6PWC2</t>
  </si>
  <si>
    <t>MT6AB</t>
  </si>
  <si>
    <t>ABS</t>
  </si>
  <si>
    <t>MT61END</t>
  </si>
  <si>
    <t>MT62BEG</t>
  </si>
  <si>
    <t>MT6SC3</t>
  </si>
  <si>
    <t>MT6PWC3</t>
  </si>
  <si>
    <t>MT62END</t>
  </si>
  <si>
    <t>BEAM</t>
  </si>
  <si>
    <t>0.000000</t>
  </si>
  <si>
    <t>M01D$1</t>
  </si>
  <si>
    <t>M01D$2</t>
  </si>
  <si>
    <t>M01D$3</t>
  </si>
  <si>
    <t>M01D$4</t>
  </si>
  <si>
    <t>M01D$5</t>
  </si>
  <si>
    <t>M01D$6</t>
  </si>
  <si>
    <t>M01D$7</t>
  </si>
  <si>
    <t>MW1W$1</t>
  </si>
  <si>
    <t>MW1W$2</t>
  </si>
  <si>
    <t>MW1W$3</t>
  </si>
  <si>
    <t>MW1W$4</t>
  </si>
  <si>
    <t>MW1W$5</t>
  </si>
  <si>
    <t>MW1W$6</t>
  </si>
  <si>
    <t>MT2WD1$1</t>
  </si>
  <si>
    <t>MT2WD1$2</t>
  </si>
  <si>
    <t>MT2WD2$1</t>
  </si>
  <si>
    <t>MT2WD2$2</t>
  </si>
  <si>
    <t>MT2WD2$3</t>
  </si>
  <si>
    <t>MT2WU$1</t>
  </si>
  <si>
    <t>MT2WU$2</t>
  </si>
  <si>
    <t>MT2WU$3</t>
  </si>
  <si>
    <t>MT2WU$4</t>
  </si>
  <si>
    <t>MT2WU$5</t>
  </si>
  <si>
    <t>MT3Q1$</t>
  </si>
  <si>
    <t>MT3Q2$</t>
  </si>
  <si>
    <t>MT3W$1</t>
  </si>
  <si>
    <t>MT3U$1</t>
  </si>
  <si>
    <t>MT3U$2</t>
  </si>
  <si>
    <t>MT4Q1$</t>
  </si>
  <si>
    <t>MT4W$1</t>
  </si>
  <si>
    <t>MT4Q2$</t>
  </si>
  <si>
    <t>MT4W$2</t>
  </si>
  <si>
    <t>MT4Q3$</t>
  </si>
  <si>
    <t>MT5E$1</t>
  </si>
  <si>
    <t>MT5E$2</t>
  </si>
  <si>
    <t>MT5E$3</t>
  </si>
  <si>
    <t>MT5E$4</t>
  </si>
  <si>
    <t>MT5E$5</t>
  </si>
  <si>
    <t>MT5Q1$</t>
  </si>
  <si>
    <t>MT5Q2$</t>
  </si>
  <si>
    <t>Mass</t>
  </si>
  <si>
    <t>[GeV/c^2]</t>
  </si>
  <si>
    <t>Type</t>
  </si>
  <si>
    <t>LTF</t>
  </si>
  <si>
    <t>Alternate Name</t>
  </si>
  <si>
    <t>Kinetic</t>
  </si>
  <si>
    <t>[GeV]</t>
  </si>
  <si>
    <t>[]</t>
  </si>
  <si>
    <t>(calculated)</t>
  </si>
  <si>
    <t>E_Tot</t>
  </si>
  <si>
    <t>SDFB</t>
  </si>
  <si>
    <t>[T*m/A]</t>
  </si>
  <si>
    <t>6-3-120</t>
  </si>
  <si>
    <t>momentum</t>
  </si>
  <si>
    <t>[GeV/c]</t>
  </si>
  <si>
    <t>TDTC</t>
  </si>
  <si>
    <t>c</t>
  </si>
  <si>
    <t>[m/s]</t>
  </si>
  <si>
    <t>10' Wide Gap Mod. B1</t>
  </si>
  <si>
    <t>k_c</t>
  </si>
  <si>
    <t>EDB</t>
  </si>
  <si>
    <t>p*k_c</t>
  </si>
  <si>
    <t>3D120</t>
  </si>
  <si>
    <t>[(T/m)*m]</t>
  </si>
  <si>
    <t>3Q120</t>
  </si>
  <si>
    <t>[T/m/A]</t>
  </si>
  <si>
    <t>3-Way</t>
  </si>
  <si>
    <t>EDE</t>
  </si>
  <si>
    <t>RQB</t>
  </si>
  <si>
    <t>4Q120</t>
  </si>
  <si>
    <t>Path</t>
  </si>
  <si>
    <t>Station</t>
  </si>
  <si>
    <t>Name</t>
  </si>
  <si>
    <t>Element</t>
  </si>
  <si>
    <t>X</t>
  </si>
  <si>
    <t>Y</t>
  </si>
  <si>
    <t>Z</t>
  </si>
  <si>
    <t>Roll</t>
  </si>
  <si>
    <t>dstation</t>
  </si>
  <si>
    <t>station</t>
  </si>
  <si>
    <t>[m]</t>
  </si>
  <si>
    <t>[U/C/D]</t>
  </si>
  <si>
    <t>[deg.]</t>
  </si>
  <si>
    <t>Elememt</t>
  </si>
  <si>
    <t>Length</t>
  </si>
  <si>
    <t>bangle</t>
  </si>
  <si>
    <t>K1</t>
  </si>
  <si>
    <t>B*s</t>
  </si>
  <si>
    <t>ρ</t>
  </si>
  <si>
    <t>s</t>
  </si>
  <si>
    <t>B</t>
  </si>
  <si>
    <t>[mRadian]</t>
  </si>
  <si>
    <t>[m^(-2)]</t>
  </si>
  <si>
    <t>[T*m]</t>
  </si>
  <si>
    <t>[T]</t>
  </si>
  <si>
    <t>MT3W</t>
  </si>
  <si>
    <t>I</t>
  </si>
  <si>
    <t>[amp]</t>
  </si>
  <si>
    <t>Serial Number</t>
  </si>
  <si>
    <t>Location</t>
  </si>
  <si>
    <t>FRD11274</t>
  </si>
  <si>
    <t>M01</t>
  </si>
  <si>
    <t>FRD11937</t>
  </si>
  <si>
    <t>FRD11936</t>
  </si>
  <si>
    <t>FRD11935</t>
  </si>
  <si>
    <t>FRD11934</t>
  </si>
  <si>
    <t>FRD11275</t>
  </si>
  <si>
    <t>FRD20703</t>
  </si>
  <si>
    <t>FRD10793</t>
  </si>
  <si>
    <t>FRD11950</t>
  </si>
  <si>
    <t>FRD11213</t>
  </si>
  <si>
    <t>FRD11930</t>
  </si>
  <si>
    <t>FRD11929</t>
  </si>
  <si>
    <t>FRD11938</t>
  </si>
  <si>
    <t>FRD11949</t>
  </si>
  <si>
    <t>FRD11661</t>
  </si>
  <si>
    <t>M02</t>
  </si>
  <si>
    <t>FRD10316</t>
  </si>
  <si>
    <t>FRD11681</t>
  </si>
  <si>
    <t>FRD11806</t>
  </si>
  <si>
    <t>FRD11467</t>
  </si>
  <si>
    <t>FRD11348</t>
  </si>
  <si>
    <t>FRD11468</t>
  </si>
  <si>
    <t>FRD11660</t>
  </si>
  <si>
    <t>FRD10582</t>
  </si>
  <si>
    <t>FRD11238</t>
  </si>
  <si>
    <t>FRD11328</t>
  </si>
  <si>
    <t>FRD11450</t>
  </si>
  <si>
    <t>FRD20705</t>
  </si>
  <si>
    <t>FRD11998</t>
  </si>
  <si>
    <t>M03</t>
  </si>
  <si>
    <t>FRD20125</t>
  </si>
  <si>
    <t>FRD11327</t>
  </si>
  <si>
    <t>FRD11451</t>
  </si>
  <si>
    <t>FRD20126</t>
  </si>
  <si>
    <t>FRD20124</t>
  </si>
  <si>
    <t>FRD10997</t>
  </si>
  <si>
    <t>FRD11178</t>
  </si>
  <si>
    <t>FRD11166</t>
  </si>
  <si>
    <t>FRD11692</t>
  </si>
  <si>
    <t>FRD20706</t>
  </si>
  <si>
    <t>FRD10313</t>
  </si>
  <si>
    <t>FRD50394</t>
  </si>
  <si>
    <t>FRD10319</t>
  </si>
  <si>
    <t>FRD10311</t>
  </si>
  <si>
    <t>FRD11657</t>
  </si>
  <si>
    <t>FRD11668</t>
  </si>
  <si>
    <t>FRD10132</t>
  </si>
  <si>
    <t>QQP002</t>
  </si>
  <si>
    <t>FRD11647</t>
  </si>
  <si>
    <t>FRD11445</t>
  </si>
  <si>
    <t>EDB103</t>
  </si>
  <si>
    <t>FRD11448</t>
  </si>
  <si>
    <t>FRD11449</t>
  </si>
  <si>
    <t>FRD10532</t>
  </si>
  <si>
    <t>FRD11159</t>
  </si>
  <si>
    <t>M05</t>
  </si>
  <si>
    <t>FRD11669</t>
  </si>
  <si>
    <t>FRD10921</t>
  </si>
  <si>
    <t>FRD11613</t>
  </si>
  <si>
    <t>Valve Control</t>
  </si>
  <si>
    <t>Notes</t>
  </si>
  <si>
    <t>Power Supply</t>
  </si>
  <si>
    <t>F:M01D</t>
  </si>
  <si>
    <t>Transrex 500-5</t>
  </si>
  <si>
    <t>MS1</t>
  </si>
  <si>
    <t>F:MW1W</t>
  </si>
  <si>
    <t>Transrex 240-1.2</t>
  </si>
  <si>
    <t>F:MT2Q1</t>
  </si>
  <si>
    <t>ACME 50kW</t>
  </si>
  <si>
    <t>MS2</t>
  </si>
  <si>
    <t>F:MT2Q2</t>
  </si>
  <si>
    <t>F:MT2WD1</t>
  </si>
  <si>
    <t>F:MT2WD2</t>
  </si>
  <si>
    <t>F:MT2V</t>
  </si>
  <si>
    <t>P=EI 20kW</t>
  </si>
  <si>
    <t>F:MT2WU</t>
  </si>
  <si>
    <t>F:MT3Q1</t>
  </si>
  <si>
    <t>MS3</t>
  </si>
  <si>
    <t>F:MT3Q2</t>
  </si>
  <si>
    <t>F:MT3V</t>
  </si>
  <si>
    <t>F:MT3SW</t>
  </si>
  <si>
    <t>F:MT3Q3</t>
  </si>
  <si>
    <t>F:MT3Q4</t>
  </si>
  <si>
    <t>F:MT3W</t>
  </si>
  <si>
    <t>F:MT3U</t>
  </si>
  <si>
    <t>F:MT4Q1</t>
  </si>
  <si>
    <t>F:MT4Q1L</t>
  </si>
  <si>
    <t>TDL/Lambda Gen 100-33</t>
  </si>
  <si>
    <t>F:MT4W</t>
  </si>
  <si>
    <t>F:MT4WL</t>
  </si>
  <si>
    <t>TDK/Lambda ESS 30-330</t>
  </si>
  <si>
    <t>F:MT4Q2</t>
  </si>
  <si>
    <t>F:MT4Q2L</t>
  </si>
  <si>
    <t>TDK/Lambda Gen 100-33</t>
  </si>
  <si>
    <t>F:MT4Q3</t>
  </si>
  <si>
    <t>F:MT4Q3L</t>
  </si>
  <si>
    <t>F:MT4VT</t>
  </si>
  <si>
    <t>F:MT4HT</t>
  </si>
  <si>
    <t>F:MT4Q4</t>
  </si>
  <si>
    <t>ACME 22.5kW</t>
  </si>
  <si>
    <t>F:MT4Q4L</t>
  </si>
  <si>
    <t>F:MT4Q5</t>
  </si>
  <si>
    <t>F:MT4Q5L</t>
  </si>
  <si>
    <t>F:MT4Q6</t>
  </si>
  <si>
    <t>MS4</t>
  </si>
  <si>
    <t>F:MT4Q6L</t>
  </si>
  <si>
    <t>F:MT5VT1</t>
  </si>
  <si>
    <t>F:MT5E</t>
  </si>
  <si>
    <t>F:MT5EL</t>
  </si>
  <si>
    <t>F:MT5Q1</t>
  </si>
  <si>
    <t>F:MT5Q1L</t>
  </si>
  <si>
    <t>F:MT5Q2</t>
  </si>
  <si>
    <t>F:MT5Q2L</t>
  </si>
  <si>
    <t>F:MT5VT2</t>
  </si>
  <si>
    <t>F:MT5HT2</t>
  </si>
  <si>
    <t>Device</t>
  </si>
  <si>
    <t>Service</t>
  </si>
  <si>
    <t>Loss Monitor</t>
  </si>
  <si>
    <t>Profile Monitor</t>
  </si>
  <si>
    <t>Chamber</t>
  </si>
  <si>
    <t>Power</t>
  </si>
  <si>
    <t>Controller</t>
  </si>
  <si>
    <t>Building</t>
  </si>
  <si>
    <t>Pitch</t>
  </si>
  <si>
    <t>Supply</t>
  </si>
  <si>
    <t>(MW/SWIC/PWC)</t>
  </si>
  <si>
    <t>[mm]</t>
  </si>
  <si>
    <t>MW3PWC1</t>
  </si>
  <si>
    <t>Coax</t>
  </si>
  <si>
    <t>N/A</t>
  </si>
  <si>
    <t>Sealed Tube</t>
  </si>
  <si>
    <t>PWC</t>
  </si>
  <si>
    <t>FPM</t>
  </si>
  <si>
    <t>Bayonet</t>
  </si>
  <si>
    <t>Fixed</t>
  </si>
  <si>
    <t>F:MS1LMHV</t>
  </si>
  <si>
    <t>F:SM01HV</t>
  </si>
  <si>
    <t>F:SM11HV</t>
  </si>
  <si>
    <t>F:SMW1HV</t>
  </si>
  <si>
    <t>F:MW2WCV</t>
  </si>
  <si>
    <t>F:MW3WCV</t>
  </si>
  <si>
    <t>F:MT3PWV</t>
  </si>
  <si>
    <t>F:MT4PWV</t>
  </si>
  <si>
    <t>F:MT4FPV</t>
  </si>
  <si>
    <t>F:MT5F1V</t>
  </si>
  <si>
    <t>M05 Enclosure</t>
  </si>
  <si>
    <t>F:MT5F2V</t>
  </si>
  <si>
    <t>F:MT6P1V</t>
  </si>
  <si>
    <t>MT6-1 Enclosure</t>
  </si>
  <si>
    <t>F:MT6P2V</t>
  </si>
  <si>
    <t>F:MT6P3V</t>
  </si>
  <si>
    <t>MT6-2 Enclosure</t>
  </si>
  <si>
    <t>F:MT4ICV</t>
  </si>
  <si>
    <t>Replaced Shutdown 2022</t>
  </si>
  <si>
    <t>Controller in Cable Tray</t>
  </si>
  <si>
    <t>Dead</t>
  </si>
  <si>
    <t>Controller next to chamber</t>
  </si>
  <si>
    <t>Controller on roof of hut</t>
  </si>
  <si>
    <t>Manual</t>
  </si>
  <si>
    <t>On vacuum header from M01RP1. Not connected to beam line vacuum.</t>
  </si>
  <si>
    <t>Vacuum header disconnected from beam line. Pump electrically disconnected.</t>
  </si>
  <si>
    <t>Ti Window US MW1SEM</t>
  </si>
  <si>
    <t>TI Window DS MW1SEM</t>
  </si>
  <si>
    <t>Ti Window US M01 Target</t>
  </si>
  <si>
    <t>Ti Window DS M01 Target</t>
  </si>
  <si>
    <t>Ti Window US M03 High-Rate Tracking Area</t>
  </si>
  <si>
    <t>Ti Window DS M03 High-Rate Tracking Area</t>
  </si>
  <si>
    <t>Ti Window US MT3 Pinhole Collimator</t>
  </si>
  <si>
    <t>Ti Window DS MT3 Pinhole Collimator</t>
  </si>
  <si>
    <t>On vacuum bypass next to beam pipe</t>
  </si>
  <si>
    <t>Ti Window US MT3PWC</t>
  </si>
  <si>
    <t>Ti Window DS MT3PWC</t>
  </si>
  <si>
    <t>Ti Window US MT3CON2</t>
  </si>
  <si>
    <t>Ti Window DS MT3CON2</t>
  </si>
  <si>
    <t>Ti Window US MT4 Target</t>
  </si>
  <si>
    <t>Ti Window DS MT4 Target in Shield Pile</t>
  </si>
  <si>
    <t>On M04RP1 Vacuum Station</t>
  </si>
  <si>
    <t>On vacuum header from M04RP1</t>
  </si>
  <si>
    <t>Ti Window US MTest ToF Detector</t>
  </si>
  <si>
    <t>Ti Window DS MTest ToF Detector</t>
  </si>
  <si>
    <t>Ti Window US MTest Cherenkov</t>
  </si>
  <si>
    <t>Ti Window Between MTest Cherenkov 1 &amp; 2</t>
  </si>
  <si>
    <t>Ti Window DS MTest Cherenkov</t>
  </si>
  <si>
    <t>Ti Window US MT6SC1</t>
  </si>
  <si>
    <t>Devices Not in Beam Line</t>
  </si>
  <si>
    <t>MT2MV1</t>
  </si>
  <si>
    <t>On vacuum header split in US M02.</t>
  </si>
  <si>
    <t>Used to isolate MTest Vacuum from M02RP1 &amp; MCenter Vacuum.</t>
  </si>
  <si>
    <t>Electrical Issues found during Shutdown 2022</t>
  </si>
  <si>
    <t>2-Terminal EPB (5-1.5-120)</t>
  </si>
  <si>
    <t>EDBB</t>
  </si>
  <si>
    <t>4-Terminal EPB (5-1.5-120)</t>
  </si>
  <si>
    <t>4-Terminal EPB w/ PEEK Insulation</t>
  </si>
  <si>
    <t>Eartly (5.5-2.28-60)</t>
  </si>
  <si>
    <t>4-4-30 Mark I</t>
  </si>
  <si>
    <t>TDTB</t>
  </si>
  <si>
    <t>4-4-30 Mark II</t>
  </si>
  <si>
    <t>4-4-30 Mark III</t>
  </si>
  <si>
    <t>4-4-30 Mark IV</t>
  </si>
  <si>
    <t>QQM</t>
  </si>
  <si>
    <t>QQB/3Q120M</t>
  </si>
  <si>
    <t>Units</t>
  </si>
  <si>
    <t>QQK</t>
  </si>
  <si>
    <t>3Q120A (1980)</t>
  </si>
  <si>
    <t>MT3BS is here</t>
  </si>
  <si>
    <t>absorber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</si>
</sst>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00"/>
    <numFmt numFmtId="166" formatCode="0.000000000"/>
    <numFmt numFmtId="167" formatCode="0.000"/>
    <numFmt numFmtId="168" formatCode="0.0000"/>
    <numFmt numFmtId="169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center"/>
    </xf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8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69" fontId="0" fillId="0" borderId="0" xfId="0" applyNumberFormat="1"/>
    <xf numFmtId="167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16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8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800-00000000000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900-00000100000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Test" displayName="MTest" ref="A1:I589" tableType="queryTable" totalsRowShown="0">
  <autoFilter ref="A1:I589" xr:uid="{00000000-0009-0000-0100-000001000000}"/>
  <tableColumns count="9">
    <tableColumn id="1" xr3:uid="{00000000-0010-0000-0000-000001000000}" uniqueName="1" name="Column1" queryTableFieldId="1" dataDxfId="6"/>
    <tableColumn id="2" xr3:uid="{00000000-0010-0000-0000-000002000000}" uniqueName="2" name="Column2" queryTableFieldId="2" dataDxfId="5"/>
    <tableColumn id="3" xr3:uid="{00000000-0010-0000-0000-000003000000}" uniqueName="3" name="Column3" queryTableFieldId="3" dataDxfId="4"/>
    <tableColumn id="4" xr3:uid="{00000000-0010-0000-0000-000004000000}" uniqueName="4" name="Column4" queryTableFieldId="4" dataDxfId="3"/>
    <tableColumn id="5" xr3:uid="{00000000-0010-0000-0000-000005000000}" uniqueName="5" name="Column5" queryTableFieldId="5"/>
    <tableColumn id="6" xr3:uid="{00000000-0010-0000-0000-000006000000}" uniqueName="6" name="Column6" queryTableFieldId="6"/>
    <tableColumn id="7" xr3:uid="{00000000-0010-0000-0000-000007000000}" uniqueName="7" name="Column7" queryTableFieldId="7"/>
    <tableColumn id="8" xr3:uid="{00000000-0010-0000-0000-000008000000}" uniqueName="8" name="Column8" queryTableFieldId="8"/>
    <tableColumn id="9" xr3:uid="{00000000-0010-0000-0000-000009000000}" uniqueName="9" name="Column9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test__2" displayName="mtest__2" ref="A1:G150" tableType="queryTable" totalsRowShown="0">
  <autoFilter ref="A1:G150" xr:uid="{00000000-0009-0000-0100-000002000000}"/>
  <tableColumns count="7">
    <tableColumn id="1" xr3:uid="{00000000-0010-0000-0100-000001000000}" uniqueName="1" name="Column1" queryTableFieldId="1" dataDxfId="2"/>
    <tableColumn id="2" xr3:uid="{00000000-0010-0000-0100-000002000000}" uniqueName="2" name="Column2" queryTableFieldId="2" dataDxfId="1"/>
    <tableColumn id="3" xr3:uid="{00000000-0010-0000-0100-000003000000}" uniqueName="3" name="Column3" queryTableFieldId="3"/>
    <tableColumn id="4" xr3:uid="{00000000-0010-0000-0100-000004000000}" uniqueName="4" name="Column4" queryTableFieldId="4"/>
    <tableColumn id="5" xr3:uid="{00000000-0010-0000-0100-000005000000}" uniqueName="5" name="Column5" queryTableFieldId="5"/>
    <tableColumn id="6" xr3:uid="{00000000-0010-0000-0100-000006000000}" uniqueName="6" name="Column6" queryTableFieldId="6"/>
    <tableColumn id="7" xr3:uid="{00000000-0010-0000-0100-000007000000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>
      <selection activeCell="J23" sqref="J23"/>
    </sheetView>
  </sheetViews>
  <sheetFormatPr defaultRowHeight="14.5" x14ac:dyDescent="0.35"/>
  <cols>
    <col min="1" max="1" width="11.453125" bestFit="1" customWidth="1"/>
    <col min="2" max="2" width="10.54296875" bestFit="1" customWidth="1"/>
    <col min="3" max="3" width="9.81640625" bestFit="1" customWidth="1"/>
    <col min="9" max="9" width="6.54296875" bestFit="1" customWidth="1"/>
    <col min="10" max="10" width="12" bestFit="1" customWidth="1"/>
    <col min="11" max="11" width="10.1796875" bestFit="1" customWidth="1"/>
    <col min="12" max="12" width="31.81640625" bestFit="1" customWidth="1"/>
    <col min="14" max="14" width="5.54296875" bestFit="1" customWidth="1"/>
    <col min="15" max="15" width="12" bestFit="1" customWidth="1"/>
    <col min="16" max="16" width="8.1796875" bestFit="1" customWidth="1"/>
    <col min="17" max="17" width="13.1796875" bestFit="1" customWidth="1"/>
  </cols>
  <sheetData>
    <row r="1" spans="1:17" x14ac:dyDescent="0.35">
      <c r="A1" t="s">
        <v>212</v>
      </c>
      <c r="B1" s="1">
        <v>0.93827231</v>
      </c>
      <c r="C1" s="2" t="s">
        <v>213</v>
      </c>
      <c r="D1" s="3"/>
      <c r="G1" s="4"/>
      <c r="H1" s="5"/>
      <c r="I1" s="8" t="s">
        <v>214</v>
      </c>
      <c r="J1" s="8" t="s">
        <v>215</v>
      </c>
      <c r="K1" s="8" t="s">
        <v>474</v>
      </c>
      <c r="L1" s="8" t="s">
        <v>216</v>
      </c>
    </row>
    <row r="2" spans="1:17" x14ac:dyDescent="0.35">
      <c r="A2" t="s">
        <v>217</v>
      </c>
      <c r="B2" s="1">
        <f>B3-B1</f>
        <v>119.06539577947014</v>
      </c>
      <c r="C2" s="2" t="s">
        <v>218</v>
      </c>
      <c r="D2" s="3"/>
      <c r="G2" s="4"/>
      <c r="H2" s="5"/>
      <c r="I2" s="9" t="s">
        <v>219</v>
      </c>
      <c r="J2" s="9" t="s">
        <v>220</v>
      </c>
      <c r="K2" s="9"/>
      <c r="L2" s="9"/>
    </row>
    <row r="3" spans="1:17" x14ac:dyDescent="0.35">
      <c r="A3" t="s">
        <v>221</v>
      </c>
      <c r="B3" s="1">
        <f>SQRT(B1^2+B4^2)</f>
        <v>120.00366808947014</v>
      </c>
      <c r="C3" s="2" t="s">
        <v>218</v>
      </c>
      <c r="D3" s="3"/>
      <c r="G3" s="4"/>
      <c r="H3" s="5"/>
      <c r="I3" s="2" t="s">
        <v>238</v>
      </c>
      <c r="J3" s="2">
        <f>(4*PI()*0.0000001*16*3.0795)/(2*0.01575)</f>
        <v>1.9656197235260481E-3</v>
      </c>
      <c r="K3" s="2" t="s">
        <v>223</v>
      </c>
      <c r="L3" s="2"/>
    </row>
    <row r="4" spans="1:17" x14ac:dyDescent="0.35">
      <c r="A4" t="s">
        <v>225</v>
      </c>
      <c r="B4" s="1">
        <v>120</v>
      </c>
      <c r="C4" s="2" t="s">
        <v>226</v>
      </c>
      <c r="D4" s="3"/>
      <c r="G4" s="4"/>
      <c r="H4" s="5"/>
      <c r="I4" s="2" t="s">
        <v>28</v>
      </c>
      <c r="J4" s="22">
        <f>(4*PI()*0.0000001*68*3.048)/(2*0.028955)</f>
        <v>4.4975932291737861E-3</v>
      </c>
      <c r="K4" s="2" t="s">
        <v>223</v>
      </c>
      <c r="L4" s="2" t="s">
        <v>230</v>
      </c>
    </row>
    <row r="5" spans="1:17" x14ac:dyDescent="0.35">
      <c r="B5" s="1"/>
      <c r="C5" s="2"/>
      <c r="D5" s="3"/>
      <c r="G5" s="4"/>
      <c r="H5" s="5"/>
      <c r="I5" s="2" t="s">
        <v>117</v>
      </c>
      <c r="J5" s="2">
        <f>(4*PI()*0.0000001*410*3.1369)/(2*0.04445)</f>
        <v>1.8179947887373621E-2</v>
      </c>
      <c r="K5" s="2" t="s">
        <v>223</v>
      </c>
      <c r="L5" s="2" t="s">
        <v>234</v>
      </c>
    </row>
    <row r="6" spans="1:17" x14ac:dyDescent="0.35">
      <c r="A6" t="s">
        <v>228</v>
      </c>
      <c r="B6" s="7">
        <v>299792458</v>
      </c>
      <c r="C6" s="2" t="s">
        <v>229</v>
      </c>
      <c r="D6" s="3"/>
      <c r="G6" s="4"/>
      <c r="H6" s="5"/>
      <c r="I6" s="2" t="s">
        <v>232</v>
      </c>
      <c r="J6" s="2">
        <f>(4*PI()*0.0000001*32*3.0226)/(2*0.01905)</f>
        <v>3.1901826199653154E-3</v>
      </c>
      <c r="K6" s="2" t="s">
        <v>223</v>
      </c>
      <c r="L6" s="2" t="s">
        <v>462</v>
      </c>
    </row>
    <row r="7" spans="1:17" x14ac:dyDescent="0.35">
      <c r="A7" t="s">
        <v>231</v>
      </c>
      <c r="B7" s="1">
        <f>1000000000/B6</f>
        <v>3.3356409519815204</v>
      </c>
      <c r="C7" s="2"/>
      <c r="D7" s="3"/>
      <c r="G7" s="4"/>
      <c r="H7" s="5"/>
      <c r="I7" s="2" t="s">
        <v>463</v>
      </c>
      <c r="J7" s="2">
        <f>(4*PI()*0.0000001*32*3.0226)/(2*0.01905)</f>
        <v>3.1901826199653154E-3</v>
      </c>
      <c r="K7" s="2" t="s">
        <v>223</v>
      </c>
      <c r="L7" s="2" t="s">
        <v>464</v>
      </c>
    </row>
    <row r="8" spans="1:17" x14ac:dyDescent="0.35">
      <c r="B8" s="1"/>
      <c r="C8" s="2"/>
      <c r="D8" s="3"/>
      <c r="G8" s="4"/>
      <c r="H8" s="5"/>
      <c r="I8" s="2" t="s">
        <v>146</v>
      </c>
      <c r="J8" s="2">
        <f>(4*PI()*0.0000001*32*3.0226)/(2*0.01905)</f>
        <v>3.1901826199653154E-3</v>
      </c>
      <c r="K8" s="2" t="s">
        <v>223</v>
      </c>
      <c r="L8" s="2" t="s">
        <v>465</v>
      </c>
    </row>
    <row r="9" spans="1:17" x14ac:dyDescent="0.35">
      <c r="A9" t="s">
        <v>233</v>
      </c>
      <c r="B9" s="1">
        <f>B4*B7</f>
        <v>400.27691423778248</v>
      </c>
      <c r="C9" s="2"/>
      <c r="D9" s="3"/>
      <c r="G9" s="4"/>
      <c r="H9" s="5"/>
      <c r="I9" s="2" t="s">
        <v>239</v>
      </c>
      <c r="J9" s="2">
        <f>(4*PI()*0.0000001*280*1.5971)/(2*0.036525)</f>
        <v>7.6927175116961663E-3</v>
      </c>
      <c r="K9" s="2" t="s">
        <v>223</v>
      </c>
      <c r="L9" s="2" t="s">
        <v>466</v>
      </c>
    </row>
    <row r="10" spans="1:17" x14ac:dyDescent="0.35">
      <c r="B10" s="1"/>
      <c r="C10" s="2"/>
      <c r="D10" s="3"/>
      <c r="G10" s="4"/>
      <c r="H10" s="5"/>
      <c r="I10" s="2" t="s">
        <v>77</v>
      </c>
      <c r="J10" s="2">
        <f>(4*PI()*0.0000001*224*0.826)/(2*0.05588)</f>
        <v>2.0804224736499567E-3</v>
      </c>
      <c r="K10" s="2" t="s">
        <v>223</v>
      </c>
      <c r="L10" s="6" t="s">
        <v>467</v>
      </c>
    </row>
    <row r="11" spans="1:17" x14ac:dyDescent="0.35">
      <c r="B11" s="1"/>
      <c r="C11" s="2"/>
      <c r="D11" s="3"/>
      <c r="G11" s="4"/>
      <c r="H11" s="5"/>
      <c r="I11" s="2" t="s">
        <v>468</v>
      </c>
      <c r="J11" s="4">
        <f>(4*PI()*0.0000001*224*0.826)/(2*0.05588)</f>
        <v>2.0804224736499567E-3</v>
      </c>
      <c r="K11" s="2" t="s">
        <v>223</v>
      </c>
      <c r="L11" s="2" t="s">
        <v>469</v>
      </c>
    </row>
    <row r="12" spans="1:17" x14ac:dyDescent="0.35">
      <c r="B12" s="1"/>
      <c r="C12" s="2"/>
      <c r="D12" s="3"/>
      <c r="G12" s="4"/>
      <c r="H12" s="5"/>
      <c r="I12" s="2" t="s">
        <v>227</v>
      </c>
      <c r="J12" s="23">
        <f>(4*PI()*0.0000001*224*0.876)/(2*0.59855)</f>
        <v>2.0598308474079142E-4</v>
      </c>
      <c r="K12" s="2" t="s">
        <v>223</v>
      </c>
      <c r="L12" s="6" t="s">
        <v>470</v>
      </c>
    </row>
    <row r="13" spans="1:17" x14ac:dyDescent="0.35">
      <c r="I13" s="2" t="s">
        <v>101</v>
      </c>
      <c r="J13">
        <f>(4*PI()*0.0000001*224*0.8305)/(2*0.0635)</f>
        <v>1.840745715063359E-3</v>
      </c>
      <c r="K13" s="2" t="s">
        <v>223</v>
      </c>
      <c r="L13" s="2" t="s">
        <v>471</v>
      </c>
    </row>
    <row r="14" spans="1:17" x14ac:dyDescent="0.35">
      <c r="I14" s="21" t="s">
        <v>222</v>
      </c>
      <c r="J14" s="23">
        <f>(4*PI()*0.0000001*108*3.138)/(2*0.040386)</f>
        <v>5.2726108882889871E-3</v>
      </c>
      <c r="K14" s="2" t="s">
        <v>223</v>
      </c>
      <c r="L14" s="2" t="s">
        <v>224</v>
      </c>
    </row>
    <row r="15" spans="1:17" x14ac:dyDescent="0.35">
      <c r="I15" s="2" t="s">
        <v>472</v>
      </c>
      <c r="J15">
        <f>(4*PI()*0.0000001*236*3.028)/(0.0381^2)</f>
        <v>0.61862545532105584</v>
      </c>
      <c r="K15" s="2" t="s">
        <v>235</v>
      </c>
      <c r="L15" s="2" t="s">
        <v>473</v>
      </c>
      <c r="N15" s="2" t="s">
        <v>472</v>
      </c>
      <c r="O15" s="2">
        <f>(4*PI()*0.0000001*236*3.0286)/(0.0381^2)/3.048</f>
        <v>0.20300132425287754</v>
      </c>
      <c r="P15" s="2" t="s">
        <v>237</v>
      </c>
      <c r="Q15" s="2" t="s">
        <v>473</v>
      </c>
    </row>
    <row r="16" spans="1:17" x14ac:dyDescent="0.35">
      <c r="I16" s="2" t="s">
        <v>67</v>
      </c>
      <c r="J16">
        <f>(4*PI()*0.0000001*236*3.028)/(0.0381^2)</f>
        <v>0.61862545532105584</v>
      </c>
      <c r="K16" s="2" t="s">
        <v>235</v>
      </c>
      <c r="L16" s="2" t="s">
        <v>236</v>
      </c>
      <c r="N16" s="2" t="s">
        <v>67</v>
      </c>
      <c r="O16" s="2">
        <f>(4*PI()*0.0000001*236*3.0286)/(0.0381^2)/3.048</f>
        <v>0.20300132425287754</v>
      </c>
      <c r="P16" s="2" t="s">
        <v>237</v>
      </c>
      <c r="Q16" s="2" t="s">
        <v>236</v>
      </c>
    </row>
    <row r="17" spans="9:12" x14ac:dyDescent="0.35">
      <c r="I17" s="2" t="s">
        <v>240</v>
      </c>
      <c r="J17" s="2">
        <f>0.01842553191*3.048</f>
        <v>5.6161021261680003E-2</v>
      </c>
      <c r="K17" s="2" t="s">
        <v>235</v>
      </c>
      <c r="L17" s="2" t="s">
        <v>241</v>
      </c>
    </row>
    <row r="18" spans="9:12" x14ac:dyDescent="0.35">
      <c r="I18" s="2" t="s">
        <v>475</v>
      </c>
      <c r="J18">
        <f>(4*PI()*0.0000001*56*3.028)/(0.0381^2)</f>
        <v>0.14679248092364039</v>
      </c>
      <c r="K18" s="2" t="s">
        <v>235</v>
      </c>
      <c r="L18" s="2" t="s">
        <v>476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0"/>
  <sheetViews>
    <sheetView tabSelected="1" topLeftCell="A220" workbookViewId="0">
      <selection activeCell="A23" sqref="A23"/>
    </sheetView>
  </sheetViews>
  <sheetFormatPr defaultRowHeight="14.5" x14ac:dyDescent="0.35"/>
  <cols>
    <col min="2" max="2" width="9" style="2"/>
    <col min="3" max="3" width="11" bestFit="1" customWidth="1"/>
    <col min="11" max="12" width="9.1796875" bestFit="1" customWidth="1"/>
    <col min="14" max="14" width="16.7265625" customWidth="1"/>
  </cols>
  <sheetData>
    <row r="1" spans="1:12" x14ac:dyDescent="0.35">
      <c r="A1" s="8" t="s">
        <v>242</v>
      </c>
      <c r="B1" s="8" t="s">
        <v>243</v>
      </c>
      <c r="C1" s="8" t="s">
        <v>244</v>
      </c>
      <c r="D1" s="8" t="s">
        <v>245</v>
      </c>
      <c r="E1" s="8" t="s">
        <v>214</v>
      </c>
      <c r="F1" s="8" t="s">
        <v>246</v>
      </c>
      <c r="G1" s="8" t="s">
        <v>247</v>
      </c>
      <c r="H1" s="8" t="s">
        <v>248</v>
      </c>
      <c r="I1" s="8" t="s">
        <v>249</v>
      </c>
      <c r="J1" s="8"/>
      <c r="K1" s="8" t="s">
        <v>250</v>
      </c>
      <c r="L1" s="8" t="s">
        <v>251</v>
      </c>
    </row>
    <row r="2" spans="1:12" x14ac:dyDescent="0.35">
      <c r="A2" s="9" t="s">
        <v>252</v>
      </c>
      <c r="B2" s="9" t="s">
        <v>253</v>
      </c>
      <c r="C2" s="9" t="s">
        <v>219</v>
      </c>
      <c r="D2" s="9" t="s">
        <v>219</v>
      </c>
      <c r="E2" s="9" t="s">
        <v>219</v>
      </c>
      <c r="F2" s="9" t="s">
        <v>252</v>
      </c>
      <c r="G2" s="9" t="s">
        <v>252</v>
      </c>
      <c r="H2" s="9" t="s">
        <v>252</v>
      </c>
      <c r="I2" s="9" t="s">
        <v>254</v>
      </c>
      <c r="J2" s="9"/>
      <c r="K2" s="9" t="s">
        <v>252</v>
      </c>
      <c r="L2" s="9" t="s">
        <v>252</v>
      </c>
    </row>
    <row r="3" spans="1:12" x14ac:dyDescent="0.35">
      <c r="A3" s="10">
        <v>0</v>
      </c>
      <c r="B3" s="2" t="s">
        <v>9</v>
      </c>
      <c r="C3" t="s">
        <v>10</v>
      </c>
      <c r="D3" t="s">
        <v>11</v>
      </c>
      <c r="E3" t="s">
        <v>12</v>
      </c>
      <c r="F3" s="10">
        <v>0</v>
      </c>
      <c r="G3" s="10">
        <v>0</v>
      </c>
      <c r="H3" s="10">
        <v>0</v>
      </c>
      <c r="I3" s="10">
        <v>0</v>
      </c>
      <c r="K3" s="10">
        <v>0</v>
      </c>
      <c r="L3" s="10">
        <v>0</v>
      </c>
    </row>
    <row r="4" spans="1:12" x14ac:dyDescent="0.35">
      <c r="A4" s="10">
        <v>0</v>
      </c>
      <c r="B4" s="2" t="s">
        <v>13</v>
      </c>
      <c r="C4" t="s">
        <v>10</v>
      </c>
      <c r="D4" t="s">
        <v>11</v>
      </c>
      <c r="E4" t="s">
        <v>12</v>
      </c>
      <c r="F4" s="10">
        <v>0</v>
      </c>
      <c r="G4" s="10">
        <v>0</v>
      </c>
      <c r="H4" s="10">
        <v>0</v>
      </c>
      <c r="I4" s="10">
        <v>0</v>
      </c>
      <c r="K4" s="10"/>
      <c r="L4" s="10">
        <f>(L3+L5)/2</f>
        <v>0</v>
      </c>
    </row>
    <row r="5" spans="1:12" x14ac:dyDescent="0.35">
      <c r="A5" s="10">
        <v>0</v>
      </c>
      <c r="B5" s="2" t="s">
        <v>14</v>
      </c>
      <c r="C5" t="s">
        <v>10</v>
      </c>
      <c r="D5" t="s">
        <v>11</v>
      </c>
      <c r="E5" t="s">
        <v>12</v>
      </c>
      <c r="F5" s="10">
        <v>0</v>
      </c>
      <c r="G5" s="10">
        <v>0</v>
      </c>
      <c r="H5" s="10">
        <v>0</v>
      </c>
      <c r="I5" s="10">
        <v>0</v>
      </c>
      <c r="K5" s="10">
        <f>SQRT((F5-F3)^2+(H5-H3)^2)</f>
        <v>0</v>
      </c>
      <c r="L5" s="10">
        <f>L3+K5</f>
        <v>0</v>
      </c>
    </row>
    <row r="6" spans="1:12" x14ac:dyDescent="0.35">
      <c r="A6" s="10"/>
      <c r="B6" s="2" t="s">
        <v>15</v>
      </c>
      <c r="C6" t="s">
        <v>15</v>
      </c>
      <c r="D6" t="s">
        <v>15</v>
      </c>
      <c r="E6" t="s">
        <v>15</v>
      </c>
      <c r="F6" s="10"/>
      <c r="G6" s="10"/>
      <c r="H6" s="10"/>
      <c r="I6" s="10"/>
      <c r="K6" s="10"/>
      <c r="L6" s="10"/>
    </row>
    <row r="7" spans="1:12" x14ac:dyDescent="0.35">
      <c r="A7" s="10">
        <v>0.61</v>
      </c>
      <c r="B7" s="2" t="s">
        <v>9</v>
      </c>
      <c r="C7" t="s">
        <v>16</v>
      </c>
      <c r="D7" t="s">
        <v>11</v>
      </c>
      <c r="E7" t="s">
        <v>17</v>
      </c>
      <c r="F7" s="10">
        <v>0</v>
      </c>
      <c r="G7" s="10">
        <v>0</v>
      </c>
      <c r="H7" s="10">
        <v>0.60960000000000003</v>
      </c>
      <c r="I7" s="10">
        <v>0</v>
      </c>
      <c r="K7" s="10">
        <f>SQRT((F7-F5)^2+(H7-H5)^2)</f>
        <v>0.60960000000000003</v>
      </c>
      <c r="L7" s="10">
        <f>L5+K7</f>
        <v>0.60960000000000003</v>
      </c>
    </row>
    <row r="8" spans="1:12" x14ac:dyDescent="0.35">
      <c r="A8" s="10">
        <v>0.61</v>
      </c>
      <c r="B8" s="2" t="s">
        <v>13</v>
      </c>
      <c r="C8" t="s">
        <v>16</v>
      </c>
      <c r="D8" t="s">
        <v>11</v>
      </c>
      <c r="E8" t="s">
        <v>17</v>
      </c>
      <c r="F8" s="10">
        <v>0</v>
      </c>
      <c r="G8" s="10">
        <v>0</v>
      </c>
      <c r="H8" s="10">
        <v>0.60960000000000003</v>
      </c>
      <c r="I8" s="10">
        <v>0</v>
      </c>
      <c r="K8" s="10"/>
      <c r="L8" s="10">
        <f>(L7+L9)/2</f>
        <v>0.60960000000000003</v>
      </c>
    </row>
    <row r="9" spans="1:12" x14ac:dyDescent="0.35">
      <c r="A9" s="10">
        <v>0.61</v>
      </c>
      <c r="B9" s="2" t="s">
        <v>14</v>
      </c>
      <c r="C9" t="s">
        <v>16</v>
      </c>
      <c r="D9" t="s">
        <v>11</v>
      </c>
      <c r="E9" t="s">
        <v>17</v>
      </c>
      <c r="F9" s="10">
        <v>0</v>
      </c>
      <c r="G9" s="10">
        <v>0</v>
      </c>
      <c r="H9" s="10">
        <v>0.60960000000000003</v>
      </c>
      <c r="I9" s="10">
        <v>0</v>
      </c>
      <c r="K9" s="10">
        <f>SQRT((F9-F7)^2+(H9-H7)^2)</f>
        <v>0</v>
      </c>
      <c r="L9" s="10">
        <f>L7+K9</f>
        <v>0.60960000000000003</v>
      </c>
    </row>
    <row r="10" spans="1:12" x14ac:dyDescent="0.35">
      <c r="A10" s="10"/>
      <c r="B10" s="2" t="s">
        <v>15</v>
      </c>
      <c r="C10" t="s">
        <v>15</v>
      </c>
      <c r="D10" t="s">
        <v>15</v>
      </c>
      <c r="E10" t="s">
        <v>15</v>
      </c>
      <c r="F10" s="10"/>
      <c r="G10" s="10"/>
      <c r="H10" s="10"/>
      <c r="I10" s="10"/>
      <c r="K10" s="10"/>
      <c r="L10" s="10"/>
    </row>
    <row r="11" spans="1:12" x14ac:dyDescent="0.35">
      <c r="A11" s="10">
        <v>0.91400000000000003</v>
      </c>
      <c r="B11" s="2" t="s">
        <v>9</v>
      </c>
      <c r="C11" t="s">
        <v>18</v>
      </c>
      <c r="D11" t="s">
        <v>11</v>
      </c>
      <c r="E11" t="s">
        <v>19</v>
      </c>
      <c r="F11" s="10">
        <v>0</v>
      </c>
      <c r="G11" s="10">
        <v>0</v>
      </c>
      <c r="H11" s="10">
        <v>0.91439999999999999</v>
      </c>
      <c r="I11" s="10">
        <v>0</v>
      </c>
      <c r="K11" s="10">
        <f>SQRT((F11-F9)^2+(H11-H9)^2)</f>
        <v>0.30479999999999996</v>
      </c>
      <c r="L11" s="10">
        <f>L9+K11</f>
        <v>0.91439999999999999</v>
      </c>
    </row>
    <row r="12" spans="1:12" x14ac:dyDescent="0.35">
      <c r="A12" s="10">
        <v>0.91400000000000003</v>
      </c>
      <c r="B12" s="2" t="s">
        <v>13</v>
      </c>
      <c r="C12" t="s">
        <v>18</v>
      </c>
      <c r="D12" t="s">
        <v>11</v>
      </c>
      <c r="E12" t="s">
        <v>19</v>
      </c>
      <c r="F12" s="10">
        <v>0</v>
      </c>
      <c r="G12" s="10">
        <v>0</v>
      </c>
      <c r="H12" s="10">
        <v>0.91439999999999999</v>
      </c>
      <c r="I12" s="10">
        <v>0</v>
      </c>
      <c r="K12" s="10"/>
      <c r="L12" s="10">
        <f>(L11+L13)/2</f>
        <v>0.91439999999999999</v>
      </c>
    </row>
    <row r="13" spans="1:12" x14ac:dyDescent="0.35">
      <c r="A13" s="10">
        <v>0.91400000000000003</v>
      </c>
      <c r="B13" s="2" t="s">
        <v>14</v>
      </c>
      <c r="C13" t="s">
        <v>18</v>
      </c>
      <c r="D13" t="s">
        <v>11</v>
      </c>
      <c r="E13" t="s">
        <v>19</v>
      </c>
      <c r="F13" s="10">
        <v>0</v>
      </c>
      <c r="G13" s="10">
        <v>0</v>
      </c>
      <c r="H13" s="10">
        <v>0.91439999999999999</v>
      </c>
      <c r="I13" s="10">
        <v>0</v>
      </c>
      <c r="K13" s="10">
        <f>SQRT((F13-F11)^2+(H13-H11)^2)</f>
        <v>0</v>
      </c>
      <c r="L13" s="10">
        <f>L11+K13</f>
        <v>0.91439999999999999</v>
      </c>
    </row>
    <row r="14" spans="1:12" x14ac:dyDescent="0.35">
      <c r="A14" s="10"/>
      <c r="B14" s="2" t="s">
        <v>15</v>
      </c>
      <c r="C14" t="s">
        <v>15</v>
      </c>
      <c r="D14" t="s">
        <v>15</v>
      </c>
      <c r="E14" t="s">
        <v>15</v>
      </c>
      <c r="F14" s="10"/>
      <c r="G14" s="10"/>
      <c r="H14" s="10"/>
      <c r="I14" s="10"/>
      <c r="K14" s="10"/>
      <c r="L14" s="10"/>
    </row>
    <row r="15" spans="1:12" x14ac:dyDescent="0.35">
      <c r="A15" s="10">
        <v>1.2190000000000001</v>
      </c>
      <c r="B15" s="2" t="s">
        <v>9</v>
      </c>
      <c r="C15" t="s">
        <v>20</v>
      </c>
      <c r="D15" t="s">
        <v>11</v>
      </c>
      <c r="E15" t="s">
        <v>17</v>
      </c>
      <c r="F15" s="10">
        <v>0</v>
      </c>
      <c r="G15" s="10">
        <v>0</v>
      </c>
      <c r="H15" s="10">
        <v>1.2192000000000001</v>
      </c>
      <c r="I15" s="10">
        <v>0</v>
      </c>
      <c r="K15" s="10">
        <f>SQRT((F15-F13)^2+(H15-H13)^2)</f>
        <v>0.30480000000000007</v>
      </c>
      <c r="L15" s="10">
        <f>L13+K15</f>
        <v>1.2192000000000001</v>
      </c>
    </row>
    <row r="16" spans="1:12" x14ac:dyDescent="0.35">
      <c r="A16" s="10">
        <v>1.2190000000000001</v>
      </c>
      <c r="B16" s="2" t="s">
        <v>13</v>
      </c>
      <c r="C16" t="s">
        <v>20</v>
      </c>
      <c r="D16" t="s">
        <v>11</v>
      </c>
      <c r="E16" t="s">
        <v>17</v>
      </c>
      <c r="F16" s="10">
        <v>0</v>
      </c>
      <c r="G16" s="10">
        <v>0</v>
      </c>
      <c r="H16" s="10">
        <v>1.2192000000000001</v>
      </c>
      <c r="I16" s="10">
        <v>0</v>
      </c>
      <c r="K16" s="10"/>
      <c r="L16" s="10">
        <f>(L15+L17)/2</f>
        <v>1.2192000000000001</v>
      </c>
    </row>
    <row r="17" spans="1:12" x14ac:dyDescent="0.35">
      <c r="A17" s="10">
        <v>1.2190000000000001</v>
      </c>
      <c r="B17" s="2" t="s">
        <v>14</v>
      </c>
      <c r="C17" t="s">
        <v>20</v>
      </c>
      <c r="D17" t="s">
        <v>11</v>
      </c>
      <c r="E17" t="s">
        <v>17</v>
      </c>
      <c r="F17" s="10">
        <v>0</v>
      </c>
      <c r="G17" s="10">
        <v>0</v>
      </c>
      <c r="H17" s="10">
        <v>1.2192000000000001</v>
      </c>
      <c r="I17" s="10">
        <v>0</v>
      </c>
      <c r="K17" s="10">
        <f>SQRT((F17-F15)^2+(H17-H15)^2)</f>
        <v>0</v>
      </c>
      <c r="L17" s="10">
        <f>L15+K17</f>
        <v>1.2192000000000001</v>
      </c>
    </row>
    <row r="18" spans="1:12" x14ac:dyDescent="0.35">
      <c r="A18" s="10"/>
      <c r="B18" s="2" t="s">
        <v>15</v>
      </c>
      <c r="C18" t="s">
        <v>15</v>
      </c>
      <c r="D18" t="s">
        <v>15</v>
      </c>
      <c r="E18" t="s">
        <v>15</v>
      </c>
      <c r="F18" s="10"/>
      <c r="G18" s="10"/>
      <c r="H18" s="10"/>
      <c r="I18" s="10"/>
      <c r="K18" s="10"/>
      <c r="L18" s="10"/>
    </row>
    <row r="19" spans="1:12" x14ac:dyDescent="0.35">
      <c r="A19" s="10">
        <v>3.657</v>
      </c>
      <c r="B19" s="2" t="s">
        <v>9</v>
      </c>
      <c r="C19" t="s">
        <v>21</v>
      </c>
      <c r="D19" t="s">
        <v>11</v>
      </c>
      <c r="E19" t="s">
        <v>22</v>
      </c>
      <c r="F19" s="10">
        <v>0</v>
      </c>
      <c r="G19" s="10">
        <v>0</v>
      </c>
      <c r="H19" s="10">
        <v>3.6572</v>
      </c>
      <c r="I19" s="10">
        <v>0</v>
      </c>
      <c r="K19" s="10">
        <f>SQRT((F19-F17)^2+(H19-H17)^2)</f>
        <v>2.4379999999999997</v>
      </c>
      <c r="L19" s="10">
        <f>L17+K19</f>
        <v>3.6571999999999996</v>
      </c>
    </row>
    <row r="20" spans="1:12" x14ac:dyDescent="0.35">
      <c r="A20" s="10">
        <v>3.657</v>
      </c>
      <c r="B20" s="2" t="s">
        <v>13</v>
      </c>
      <c r="C20" t="s">
        <v>21</v>
      </c>
      <c r="D20" t="s">
        <v>11</v>
      </c>
      <c r="E20" t="s">
        <v>22</v>
      </c>
      <c r="F20" s="10">
        <v>0</v>
      </c>
      <c r="G20" s="10">
        <v>0</v>
      </c>
      <c r="H20" s="10">
        <v>3.6572</v>
      </c>
      <c r="I20" s="10">
        <v>0</v>
      </c>
      <c r="K20" s="10"/>
      <c r="L20" s="10">
        <f>(L19+L21)/2</f>
        <v>3.6571999999999996</v>
      </c>
    </row>
    <row r="21" spans="1:12" x14ac:dyDescent="0.35">
      <c r="A21" s="10">
        <v>3.657</v>
      </c>
      <c r="B21" s="2" t="s">
        <v>14</v>
      </c>
      <c r="C21" t="s">
        <v>21</v>
      </c>
      <c r="D21" t="s">
        <v>11</v>
      </c>
      <c r="E21" t="s">
        <v>22</v>
      </c>
      <c r="F21" s="10">
        <v>0</v>
      </c>
      <c r="G21" s="10">
        <v>0</v>
      </c>
      <c r="H21" s="10">
        <v>3.6572</v>
      </c>
      <c r="I21" s="10">
        <v>0</v>
      </c>
      <c r="K21" s="10">
        <f>SQRT((F21-F19)^2+(H21-H19)^2)</f>
        <v>0</v>
      </c>
      <c r="L21" s="10">
        <f>L19+K21</f>
        <v>3.6571999999999996</v>
      </c>
    </row>
    <row r="22" spans="1:12" x14ac:dyDescent="0.35">
      <c r="A22" s="10"/>
      <c r="B22" s="2" t="s">
        <v>15</v>
      </c>
      <c r="C22" t="s">
        <v>15</v>
      </c>
      <c r="D22" t="s">
        <v>15</v>
      </c>
      <c r="E22" t="s">
        <v>15</v>
      </c>
      <c r="F22" s="10"/>
      <c r="G22" s="10"/>
      <c r="H22" s="10"/>
      <c r="I22" s="10"/>
      <c r="K22" s="10"/>
      <c r="L22" s="10"/>
    </row>
    <row r="23" spans="1:12" x14ac:dyDescent="0.35">
      <c r="A23" s="10">
        <v>3.657</v>
      </c>
      <c r="B23" s="2" t="s">
        <v>9</v>
      </c>
      <c r="C23" t="s">
        <v>23</v>
      </c>
      <c r="D23" t="s">
        <v>11</v>
      </c>
      <c r="E23" t="s">
        <v>24</v>
      </c>
      <c r="F23" s="10">
        <v>0</v>
      </c>
      <c r="G23" s="10">
        <v>0</v>
      </c>
      <c r="H23" s="10">
        <v>3.6572</v>
      </c>
      <c r="I23" s="10">
        <v>0</v>
      </c>
      <c r="K23" s="10">
        <f>SQRT((F23-F21)^2+(H23-H21)^2)</f>
        <v>0</v>
      </c>
      <c r="L23" s="10">
        <f>L21+K23</f>
        <v>3.6571999999999996</v>
      </c>
    </row>
    <row r="24" spans="1:12" x14ac:dyDescent="0.35">
      <c r="A24" s="10">
        <v>3.657</v>
      </c>
      <c r="B24" s="2" t="s">
        <v>13</v>
      </c>
      <c r="C24" t="s">
        <v>23</v>
      </c>
      <c r="D24" t="s">
        <v>11</v>
      </c>
      <c r="E24" t="s">
        <v>24</v>
      </c>
      <c r="F24" s="10">
        <v>0</v>
      </c>
      <c r="G24" s="10">
        <v>0</v>
      </c>
      <c r="H24" s="10">
        <v>3.6572</v>
      </c>
      <c r="I24" s="10">
        <v>0</v>
      </c>
      <c r="K24" s="10"/>
      <c r="L24" s="10">
        <f>(L23+L25)/2</f>
        <v>3.6571999999999996</v>
      </c>
    </row>
    <row r="25" spans="1:12" x14ac:dyDescent="0.35">
      <c r="A25" s="10">
        <v>3.657</v>
      </c>
      <c r="B25" s="2" t="s">
        <v>14</v>
      </c>
      <c r="C25" t="s">
        <v>23</v>
      </c>
      <c r="D25" t="s">
        <v>11</v>
      </c>
      <c r="E25" t="s">
        <v>24</v>
      </c>
      <c r="F25" s="10">
        <v>0</v>
      </c>
      <c r="G25" s="10">
        <v>0</v>
      </c>
      <c r="H25" s="10">
        <v>3.6572</v>
      </c>
      <c r="I25" s="10">
        <v>0</v>
      </c>
      <c r="K25" s="10">
        <f>SQRT((F25-F23)^2+(H25-H23)^2)</f>
        <v>0</v>
      </c>
      <c r="L25" s="10">
        <f>L23+K25</f>
        <v>3.6571999999999996</v>
      </c>
    </row>
    <row r="26" spans="1:12" x14ac:dyDescent="0.35">
      <c r="A26" s="10"/>
      <c r="B26" s="2" t="s">
        <v>15</v>
      </c>
      <c r="C26" t="s">
        <v>15</v>
      </c>
      <c r="D26" t="s">
        <v>15</v>
      </c>
      <c r="E26" t="s">
        <v>15</v>
      </c>
      <c r="F26" s="10"/>
      <c r="G26" s="10"/>
      <c r="H26" s="10"/>
      <c r="I26" s="10"/>
      <c r="K26" s="10"/>
      <c r="L26" s="10"/>
    </row>
    <row r="27" spans="1:12" x14ac:dyDescent="0.35">
      <c r="A27" s="10">
        <v>3.911</v>
      </c>
      <c r="B27" s="2" t="s">
        <v>9</v>
      </c>
      <c r="C27" t="s">
        <v>25</v>
      </c>
      <c r="D27" t="s">
        <v>11</v>
      </c>
      <c r="E27" t="s">
        <v>22</v>
      </c>
      <c r="F27" s="10">
        <v>0</v>
      </c>
      <c r="G27" s="10">
        <v>0</v>
      </c>
      <c r="H27" s="10">
        <v>3.9112</v>
      </c>
      <c r="I27" s="10">
        <v>0</v>
      </c>
      <c r="K27" s="10">
        <f>SQRT((F27-F25)^2+(H27-H25)^2)</f>
        <v>0.254</v>
      </c>
      <c r="L27" s="10">
        <f>L25+K27</f>
        <v>3.9111999999999996</v>
      </c>
    </row>
    <row r="28" spans="1:12" x14ac:dyDescent="0.35">
      <c r="A28" s="10">
        <v>3.911</v>
      </c>
      <c r="B28" s="2" t="s">
        <v>13</v>
      </c>
      <c r="C28" t="s">
        <v>25</v>
      </c>
      <c r="D28" t="s">
        <v>11</v>
      </c>
      <c r="E28" t="s">
        <v>22</v>
      </c>
      <c r="F28" s="10">
        <v>0</v>
      </c>
      <c r="G28" s="10">
        <v>0</v>
      </c>
      <c r="H28" s="10">
        <v>3.9112</v>
      </c>
      <c r="I28" s="10">
        <v>0</v>
      </c>
      <c r="K28" s="10"/>
      <c r="L28" s="10">
        <f>(L27+L29)/2</f>
        <v>3.9111999999999996</v>
      </c>
    </row>
    <row r="29" spans="1:12" x14ac:dyDescent="0.35">
      <c r="A29" s="10">
        <v>3.911</v>
      </c>
      <c r="B29" s="2" t="s">
        <v>14</v>
      </c>
      <c r="C29" t="s">
        <v>25</v>
      </c>
      <c r="D29" t="s">
        <v>11</v>
      </c>
      <c r="E29" t="s">
        <v>22</v>
      </c>
      <c r="F29" s="10">
        <v>0</v>
      </c>
      <c r="G29" s="10">
        <v>0</v>
      </c>
      <c r="H29" s="10">
        <v>3.9112</v>
      </c>
      <c r="I29" s="10">
        <v>0</v>
      </c>
      <c r="K29" s="10">
        <f>SQRT((F29-F27)^2+(H29-H27)^2)</f>
        <v>0</v>
      </c>
      <c r="L29" s="10">
        <f>L27+K29</f>
        <v>3.9111999999999996</v>
      </c>
    </row>
    <row r="30" spans="1:12" x14ac:dyDescent="0.35">
      <c r="A30" s="10"/>
      <c r="B30" s="2" t="s">
        <v>15</v>
      </c>
      <c r="C30" t="s">
        <v>15</v>
      </c>
      <c r="D30" t="s">
        <v>15</v>
      </c>
      <c r="E30" t="s">
        <v>15</v>
      </c>
      <c r="F30" s="10"/>
      <c r="G30" s="10"/>
      <c r="H30" s="10"/>
      <c r="I30" s="10"/>
      <c r="K30" s="10"/>
      <c r="L30" s="10"/>
    </row>
    <row r="31" spans="1:12" x14ac:dyDescent="0.35">
      <c r="A31" s="10">
        <v>3.911</v>
      </c>
      <c r="B31" s="2" t="s">
        <v>9</v>
      </c>
      <c r="C31" t="s">
        <v>26</v>
      </c>
      <c r="D31" t="s">
        <v>27</v>
      </c>
      <c r="E31" t="s">
        <v>28</v>
      </c>
      <c r="F31" s="10">
        <v>0</v>
      </c>
      <c r="G31" s="10">
        <v>0</v>
      </c>
      <c r="H31" s="10">
        <v>3.9112</v>
      </c>
      <c r="I31" s="10">
        <v>-90</v>
      </c>
      <c r="K31" s="10">
        <f>SQRT((F31-F29)^2+(H31-H29)^2)</f>
        <v>0</v>
      </c>
      <c r="L31" s="10">
        <f>L29+K31</f>
        <v>3.9111999999999996</v>
      </c>
    </row>
    <row r="32" spans="1:12" x14ac:dyDescent="0.35">
      <c r="A32" s="10">
        <v>5.4349999999999996</v>
      </c>
      <c r="B32" s="2" t="s">
        <v>13</v>
      </c>
      <c r="C32" t="s">
        <v>26</v>
      </c>
      <c r="D32" t="s">
        <v>27</v>
      </c>
      <c r="E32" t="s">
        <v>28</v>
      </c>
      <c r="F32" s="10">
        <v>0</v>
      </c>
      <c r="G32" s="10">
        <v>0</v>
      </c>
      <c r="H32" s="10">
        <v>5.4352</v>
      </c>
      <c r="I32" s="10">
        <v>-90</v>
      </c>
      <c r="K32" s="10"/>
      <c r="L32" s="10">
        <f>(L31+L33)/2</f>
        <v>5.4351999999999991</v>
      </c>
    </row>
    <row r="33" spans="1:12" x14ac:dyDescent="0.35">
      <c r="A33" s="10">
        <v>6.9589999999999996</v>
      </c>
      <c r="B33" s="2" t="s">
        <v>14</v>
      </c>
      <c r="C33" t="s">
        <v>26</v>
      </c>
      <c r="D33" t="s">
        <v>27</v>
      </c>
      <c r="E33" t="s">
        <v>28</v>
      </c>
      <c r="F33" s="10">
        <v>0</v>
      </c>
      <c r="G33" s="10">
        <v>0</v>
      </c>
      <c r="H33" s="10">
        <v>6.9592000000000001</v>
      </c>
      <c r="I33" s="10">
        <v>-90</v>
      </c>
      <c r="K33" s="10">
        <f>SQRT((F33-F31)^2+(H33-H31)^2)</f>
        <v>3.048</v>
      </c>
      <c r="L33" s="10">
        <f>L31+K33</f>
        <v>6.9591999999999992</v>
      </c>
    </row>
    <row r="34" spans="1:12" x14ac:dyDescent="0.35">
      <c r="A34" s="10"/>
      <c r="B34" s="2" t="s">
        <v>15</v>
      </c>
      <c r="C34" t="s">
        <v>15</v>
      </c>
      <c r="D34" t="s">
        <v>15</v>
      </c>
      <c r="E34" t="s">
        <v>15</v>
      </c>
      <c r="F34" s="10"/>
      <c r="G34" s="10"/>
      <c r="H34" s="10"/>
      <c r="I34" s="10"/>
      <c r="K34" s="10"/>
      <c r="L34" s="10"/>
    </row>
    <row r="35" spans="1:12" x14ac:dyDescent="0.35">
      <c r="A35" s="10">
        <v>7.0609999999999999</v>
      </c>
      <c r="B35" s="2" t="s">
        <v>9</v>
      </c>
      <c r="C35" t="s">
        <v>29</v>
      </c>
      <c r="D35" t="s">
        <v>27</v>
      </c>
      <c r="E35" t="s">
        <v>28</v>
      </c>
      <c r="F35" s="10">
        <v>0</v>
      </c>
      <c r="G35" s="10">
        <v>0</v>
      </c>
      <c r="H35" s="10">
        <v>7.0608000000000004</v>
      </c>
      <c r="I35" s="10">
        <v>-90</v>
      </c>
      <c r="K35" s="10">
        <f>SQRT((F35-F33)^2+(H35-H33)^2)</f>
        <v>0.10160000000000036</v>
      </c>
      <c r="L35" s="10">
        <f>L33+K35</f>
        <v>7.0607999999999995</v>
      </c>
    </row>
    <row r="36" spans="1:12" x14ac:dyDescent="0.35">
      <c r="A36" s="10">
        <v>8.5850000000000009</v>
      </c>
      <c r="B36" s="2" t="s">
        <v>13</v>
      </c>
      <c r="C36" t="s">
        <v>29</v>
      </c>
      <c r="D36" t="s">
        <v>27</v>
      </c>
      <c r="E36" t="s">
        <v>28</v>
      </c>
      <c r="F36" s="10">
        <v>0</v>
      </c>
      <c r="G36" s="10">
        <v>0</v>
      </c>
      <c r="H36" s="10">
        <v>8.5847999999999995</v>
      </c>
      <c r="I36" s="10">
        <v>-90</v>
      </c>
      <c r="K36" s="10"/>
      <c r="L36" s="10">
        <f>(L35+L37)/2</f>
        <v>8.5847999999999995</v>
      </c>
    </row>
    <row r="37" spans="1:12" x14ac:dyDescent="0.35">
      <c r="A37" s="10">
        <v>10.109</v>
      </c>
      <c r="B37" s="2" t="s">
        <v>14</v>
      </c>
      <c r="C37" t="s">
        <v>29</v>
      </c>
      <c r="D37" t="s">
        <v>27</v>
      </c>
      <c r="E37" t="s">
        <v>28</v>
      </c>
      <c r="F37" s="10">
        <v>0</v>
      </c>
      <c r="G37" s="10">
        <v>0</v>
      </c>
      <c r="H37" s="10">
        <v>10.1088</v>
      </c>
      <c r="I37" s="10">
        <v>-90</v>
      </c>
      <c r="K37" s="10">
        <f>SQRT((F37-F35)^2+(H37-H35)^2)</f>
        <v>3.048</v>
      </c>
      <c r="L37" s="10">
        <f>L35+K37</f>
        <v>10.108799999999999</v>
      </c>
    </row>
    <row r="38" spans="1:12" x14ac:dyDescent="0.35">
      <c r="A38" s="10"/>
      <c r="B38" s="2" t="s">
        <v>15</v>
      </c>
      <c r="C38" t="s">
        <v>15</v>
      </c>
      <c r="D38" t="s">
        <v>15</v>
      </c>
      <c r="E38" t="s">
        <v>15</v>
      </c>
      <c r="F38" s="10"/>
      <c r="G38" s="10"/>
      <c r="H38" s="10"/>
      <c r="I38" s="10"/>
      <c r="K38" s="10"/>
      <c r="L38" s="10"/>
    </row>
    <row r="39" spans="1:12" x14ac:dyDescent="0.35">
      <c r="A39" s="10">
        <v>10.210000000000001</v>
      </c>
      <c r="B39" s="2" t="s">
        <v>9</v>
      </c>
      <c r="C39" t="s">
        <v>30</v>
      </c>
      <c r="D39" t="s">
        <v>27</v>
      </c>
      <c r="E39" t="s">
        <v>28</v>
      </c>
      <c r="F39" s="10">
        <v>0</v>
      </c>
      <c r="G39" s="10">
        <v>0</v>
      </c>
      <c r="H39" s="10">
        <v>10.2104</v>
      </c>
      <c r="I39" s="10">
        <v>-90</v>
      </c>
      <c r="K39" s="10">
        <f>SQRT((F39-F37)^2+(H39-H37)^2)</f>
        <v>0.10159999999999947</v>
      </c>
      <c r="L39" s="10">
        <f>L37+K39</f>
        <v>10.210399999999998</v>
      </c>
    </row>
    <row r="40" spans="1:12" x14ac:dyDescent="0.35">
      <c r="A40" s="10">
        <v>11.734</v>
      </c>
      <c r="B40" s="2" t="s">
        <v>13</v>
      </c>
      <c r="C40" t="s">
        <v>30</v>
      </c>
      <c r="D40" t="s">
        <v>27</v>
      </c>
      <c r="E40" t="s">
        <v>28</v>
      </c>
      <c r="F40" s="10">
        <v>0</v>
      </c>
      <c r="G40" s="10">
        <v>0</v>
      </c>
      <c r="H40" s="10">
        <v>11.734400000000001</v>
      </c>
      <c r="I40" s="10">
        <v>-90</v>
      </c>
      <c r="K40" s="10"/>
      <c r="L40" s="10">
        <f>(L39+L41)/2</f>
        <v>11.734399999999997</v>
      </c>
    </row>
    <row r="41" spans="1:12" x14ac:dyDescent="0.35">
      <c r="A41" s="10">
        <v>13.257999999999999</v>
      </c>
      <c r="B41" s="2" t="s">
        <v>14</v>
      </c>
      <c r="C41" t="s">
        <v>30</v>
      </c>
      <c r="D41" t="s">
        <v>27</v>
      </c>
      <c r="E41" t="s">
        <v>28</v>
      </c>
      <c r="F41" s="10">
        <v>0</v>
      </c>
      <c r="G41" s="10">
        <v>0</v>
      </c>
      <c r="H41" s="10">
        <v>13.2584</v>
      </c>
      <c r="I41" s="10">
        <v>-90</v>
      </c>
      <c r="K41" s="10">
        <f>SQRT((F41-F39)^2+(H41-H39)^2)</f>
        <v>3.048</v>
      </c>
      <c r="L41" s="10">
        <f>L39+K41</f>
        <v>13.258399999999998</v>
      </c>
    </row>
    <row r="42" spans="1:12" x14ac:dyDescent="0.35">
      <c r="A42" s="10"/>
      <c r="B42" s="2" t="s">
        <v>15</v>
      </c>
      <c r="C42" t="s">
        <v>15</v>
      </c>
      <c r="D42" t="s">
        <v>15</v>
      </c>
      <c r="E42" t="s">
        <v>15</v>
      </c>
      <c r="F42" s="10"/>
      <c r="G42" s="10"/>
      <c r="H42" s="10"/>
      <c r="I42" s="10"/>
      <c r="K42" s="10"/>
      <c r="L42" s="10"/>
    </row>
    <row r="43" spans="1:12" x14ac:dyDescent="0.35">
      <c r="A43" s="10">
        <v>13.36</v>
      </c>
      <c r="B43" s="2" t="s">
        <v>9</v>
      </c>
      <c r="C43" t="s">
        <v>31</v>
      </c>
      <c r="D43" t="s">
        <v>27</v>
      </c>
      <c r="E43" t="s">
        <v>28</v>
      </c>
      <c r="F43" s="10">
        <v>0</v>
      </c>
      <c r="G43" s="10">
        <v>0</v>
      </c>
      <c r="H43" s="10">
        <v>13.36</v>
      </c>
      <c r="I43" s="10">
        <v>-90</v>
      </c>
      <c r="K43" s="10">
        <f>SQRT((F43-F41)^2+(H43-H41)^2)</f>
        <v>0.10159999999999947</v>
      </c>
      <c r="L43" s="10">
        <f>L41+K43</f>
        <v>13.359999999999998</v>
      </c>
    </row>
    <row r="44" spans="1:12" x14ac:dyDescent="0.35">
      <c r="A44" s="10">
        <v>14.884</v>
      </c>
      <c r="B44" s="2" t="s">
        <v>13</v>
      </c>
      <c r="C44" t="s">
        <v>31</v>
      </c>
      <c r="D44" t="s">
        <v>27</v>
      </c>
      <c r="E44" t="s">
        <v>28</v>
      </c>
      <c r="F44" s="10">
        <v>0</v>
      </c>
      <c r="G44" s="10">
        <v>0</v>
      </c>
      <c r="H44" s="10">
        <v>14.884</v>
      </c>
      <c r="I44" s="10">
        <v>-90</v>
      </c>
      <c r="K44" s="10"/>
      <c r="L44" s="10">
        <f>(L43+L45)/2</f>
        <v>14.884</v>
      </c>
    </row>
    <row r="45" spans="1:12" x14ac:dyDescent="0.35">
      <c r="A45" s="10">
        <v>16.408000000000001</v>
      </c>
      <c r="B45" s="2" t="s">
        <v>14</v>
      </c>
      <c r="C45" t="s">
        <v>31</v>
      </c>
      <c r="D45" t="s">
        <v>27</v>
      </c>
      <c r="E45" t="s">
        <v>28</v>
      </c>
      <c r="F45" s="10">
        <v>0</v>
      </c>
      <c r="G45" s="10">
        <v>0</v>
      </c>
      <c r="H45" s="10">
        <v>16.408000000000001</v>
      </c>
      <c r="I45" s="10">
        <v>-90</v>
      </c>
      <c r="K45" s="10">
        <f>SQRT((F45-F43)^2+(H45-H43)^2)</f>
        <v>3.0480000000000018</v>
      </c>
      <c r="L45" s="10">
        <f>L43+K45</f>
        <v>16.408000000000001</v>
      </c>
    </row>
    <row r="46" spans="1:12" x14ac:dyDescent="0.35">
      <c r="A46" s="10"/>
      <c r="B46" s="2" t="s">
        <v>15</v>
      </c>
      <c r="C46" t="s">
        <v>15</v>
      </c>
      <c r="D46" t="s">
        <v>15</v>
      </c>
      <c r="E46" t="s">
        <v>15</v>
      </c>
      <c r="F46" s="10"/>
      <c r="G46" s="10"/>
      <c r="H46" s="10"/>
      <c r="I46" s="10"/>
      <c r="K46" s="10"/>
      <c r="L46" s="10"/>
    </row>
    <row r="47" spans="1:12" x14ac:dyDescent="0.35">
      <c r="A47" s="10">
        <v>16.510000000000002</v>
      </c>
      <c r="B47" s="2" t="s">
        <v>9</v>
      </c>
      <c r="C47" t="s">
        <v>32</v>
      </c>
      <c r="D47" t="s">
        <v>27</v>
      </c>
      <c r="E47" t="s">
        <v>28</v>
      </c>
      <c r="F47" s="10">
        <v>0</v>
      </c>
      <c r="G47" s="10">
        <v>0</v>
      </c>
      <c r="H47" s="10">
        <v>16.509599999999999</v>
      </c>
      <c r="I47" s="10">
        <v>-90</v>
      </c>
      <c r="K47" s="10">
        <f>SQRT((F47-F45)^2+(H47-H45)^2)</f>
        <v>0.10159999999999769</v>
      </c>
      <c r="L47" s="10">
        <f>L45+K47</f>
        <v>16.509599999999999</v>
      </c>
    </row>
    <row r="48" spans="1:12" x14ac:dyDescent="0.35">
      <c r="A48" s="10">
        <v>18.033999999999999</v>
      </c>
      <c r="B48" s="2" t="s">
        <v>13</v>
      </c>
      <c r="C48" t="s">
        <v>32</v>
      </c>
      <c r="D48" t="s">
        <v>27</v>
      </c>
      <c r="E48" t="s">
        <v>28</v>
      </c>
      <c r="F48" s="10">
        <v>0</v>
      </c>
      <c r="G48" s="10">
        <v>0</v>
      </c>
      <c r="H48" s="10">
        <v>18.0336</v>
      </c>
      <c r="I48" s="10">
        <v>-90</v>
      </c>
      <c r="K48" s="10"/>
      <c r="L48" s="10">
        <f>(L47+L49)/2</f>
        <v>18.0336</v>
      </c>
    </row>
    <row r="49" spans="1:12" x14ac:dyDescent="0.35">
      <c r="A49" s="10">
        <v>19.558</v>
      </c>
      <c r="B49" s="2" t="s">
        <v>14</v>
      </c>
      <c r="C49" t="s">
        <v>32</v>
      </c>
      <c r="D49" t="s">
        <v>27</v>
      </c>
      <c r="E49" t="s">
        <v>28</v>
      </c>
      <c r="F49" s="10">
        <v>0</v>
      </c>
      <c r="G49" s="10">
        <v>0</v>
      </c>
      <c r="H49" s="10">
        <v>19.557600000000001</v>
      </c>
      <c r="I49" s="10">
        <v>-90</v>
      </c>
      <c r="K49" s="10">
        <f>SQRT((F49-F47)^2+(H49-H47)^2)</f>
        <v>3.0480000000000018</v>
      </c>
      <c r="L49" s="10">
        <f>L47+K49</f>
        <v>19.557600000000001</v>
      </c>
    </row>
    <row r="50" spans="1:12" x14ac:dyDescent="0.35">
      <c r="A50" s="10"/>
      <c r="B50" s="2" t="s">
        <v>15</v>
      </c>
      <c r="C50" t="s">
        <v>15</v>
      </c>
      <c r="D50" t="s">
        <v>15</v>
      </c>
      <c r="E50" t="s">
        <v>15</v>
      </c>
      <c r="F50" s="10"/>
      <c r="G50" s="10"/>
      <c r="H50" s="10"/>
      <c r="I50" s="10"/>
      <c r="K50" s="10"/>
      <c r="L50" s="10"/>
    </row>
    <row r="51" spans="1:12" x14ac:dyDescent="0.35">
      <c r="A51" s="10">
        <v>19.658999999999999</v>
      </c>
      <c r="B51" s="2" t="s">
        <v>9</v>
      </c>
      <c r="C51" t="s">
        <v>33</v>
      </c>
      <c r="D51" t="s">
        <v>11</v>
      </c>
      <c r="E51" t="s">
        <v>19</v>
      </c>
      <c r="F51" s="10">
        <v>0</v>
      </c>
      <c r="G51" s="10">
        <v>0</v>
      </c>
      <c r="H51" s="10">
        <v>19.659099999999999</v>
      </c>
      <c r="I51" s="10">
        <v>0</v>
      </c>
      <c r="K51" s="10">
        <f>SQRT((F51-F49)^2+(H51-H49)^2)</f>
        <v>0.10149999999999793</v>
      </c>
      <c r="L51" s="10">
        <f>L49+K51</f>
        <v>19.659099999999999</v>
      </c>
    </row>
    <row r="52" spans="1:12" x14ac:dyDescent="0.35">
      <c r="A52" s="10">
        <v>19.658999999999999</v>
      </c>
      <c r="B52" s="2" t="s">
        <v>13</v>
      </c>
      <c r="C52" t="s">
        <v>33</v>
      </c>
      <c r="D52" t="s">
        <v>11</v>
      </c>
      <c r="E52" t="s">
        <v>19</v>
      </c>
      <c r="F52" s="10">
        <v>0</v>
      </c>
      <c r="G52" s="10">
        <v>0</v>
      </c>
      <c r="H52" s="10">
        <v>19.659099999999999</v>
      </c>
      <c r="I52" s="10">
        <v>0</v>
      </c>
      <c r="K52" s="10"/>
      <c r="L52" s="10">
        <f>(L51+L53)/2</f>
        <v>19.659099999999999</v>
      </c>
    </row>
    <row r="53" spans="1:12" x14ac:dyDescent="0.35">
      <c r="A53" s="10">
        <v>19.658999999999999</v>
      </c>
      <c r="B53" s="2" t="s">
        <v>14</v>
      </c>
      <c r="C53" t="s">
        <v>33</v>
      </c>
      <c r="D53" t="s">
        <v>11</v>
      </c>
      <c r="E53" t="s">
        <v>19</v>
      </c>
      <c r="F53" s="10">
        <v>0</v>
      </c>
      <c r="G53" s="10">
        <v>0</v>
      </c>
      <c r="H53" s="10">
        <v>19.659099999999999</v>
      </c>
      <c r="I53" s="10">
        <v>0</v>
      </c>
      <c r="K53" s="10">
        <f>SQRT((F53-F51)^2+(H53-H51)^2)</f>
        <v>0</v>
      </c>
      <c r="L53" s="10">
        <f>L51+K53</f>
        <v>19.659099999999999</v>
      </c>
    </row>
    <row r="54" spans="1:12" x14ac:dyDescent="0.35">
      <c r="A54" s="10"/>
      <c r="B54" s="2" t="s">
        <v>15</v>
      </c>
      <c r="C54" t="s">
        <v>15</v>
      </c>
      <c r="D54" t="s">
        <v>15</v>
      </c>
      <c r="E54" t="s">
        <v>15</v>
      </c>
      <c r="F54" s="10"/>
      <c r="G54" s="10"/>
      <c r="H54" s="10"/>
      <c r="I54" s="10"/>
      <c r="K54" s="10"/>
      <c r="L54" s="10"/>
    </row>
    <row r="55" spans="1:12" x14ac:dyDescent="0.35">
      <c r="A55" s="10">
        <v>19.658999999999999</v>
      </c>
      <c r="B55" s="2" t="s">
        <v>9</v>
      </c>
      <c r="C55" t="s">
        <v>34</v>
      </c>
      <c r="D55" t="s">
        <v>11</v>
      </c>
      <c r="E55" t="s">
        <v>35</v>
      </c>
      <c r="F55" s="10">
        <v>0</v>
      </c>
      <c r="G55" s="10">
        <v>0</v>
      </c>
      <c r="H55" s="10">
        <v>19.659099999999999</v>
      </c>
      <c r="I55" s="10">
        <v>0</v>
      </c>
      <c r="K55" s="10">
        <f>SQRT((F55-F53)^2+(H55-H53)^2)</f>
        <v>0</v>
      </c>
      <c r="L55" s="10">
        <f>L53+K55</f>
        <v>19.659099999999999</v>
      </c>
    </row>
    <row r="56" spans="1:12" x14ac:dyDescent="0.35">
      <c r="A56" s="10">
        <v>19.658999999999999</v>
      </c>
      <c r="B56" s="2" t="s">
        <v>13</v>
      </c>
      <c r="C56" t="s">
        <v>34</v>
      </c>
      <c r="D56" t="s">
        <v>11</v>
      </c>
      <c r="E56" t="s">
        <v>35</v>
      </c>
      <c r="F56" s="10">
        <v>0</v>
      </c>
      <c r="G56" s="10">
        <v>0</v>
      </c>
      <c r="H56" s="10">
        <v>19.659099999999999</v>
      </c>
      <c r="I56" s="10">
        <v>0</v>
      </c>
      <c r="K56" s="10"/>
      <c r="L56" s="10">
        <f>(L55+L57)/2</f>
        <v>19.659099999999999</v>
      </c>
    </row>
    <row r="57" spans="1:12" x14ac:dyDescent="0.35">
      <c r="A57" s="10">
        <v>19.658999999999999</v>
      </c>
      <c r="B57" s="2" t="s">
        <v>14</v>
      </c>
      <c r="C57" t="s">
        <v>34</v>
      </c>
      <c r="D57" t="s">
        <v>11</v>
      </c>
      <c r="E57" t="s">
        <v>35</v>
      </c>
      <c r="F57" s="10">
        <v>0</v>
      </c>
      <c r="G57" s="10">
        <v>0</v>
      </c>
      <c r="H57" s="10">
        <v>19.659099999999999</v>
      </c>
      <c r="I57" s="10">
        <v>0</v>
      </c>
      <c r="K57" s="10">
        <f>SQRT((F57-F55)^2+(H57-H55)^2)</f>
        <v>0</v>
      </c>
      <c r="L57" s="10">
        <f>L55+K57</f>
        <v>19.659099999999999</v>
      </c>
    </row>
    <row r="58" spans="1:12" x14ac:dyDescent="0.35">
      <c r="A58" s="10"/>
      <c r="B58" s="2" t="s">
        <v>15</v>
      </c>
      <c r="C58" t="s">
        <v>15</v>
      </c>
      <c r="D58" t="s">
        <v>15</v>
      </c>
      <c r="E58" t="s">
        <v>15</v>
      </c>
      <c r="F58" s="10"/>
      <c r="G58" s="10"/>
      <c r="H58" s="10"/>
      <c r="I58" s="10"/>
      <c r="K58" s="10"/>
      <c r="L58" s="10"/>
    </row>
    <row r="59" spans="1:12" x14ac:dyDescent="0.35">
      <c r="A59" s="10">
        <v>19.658999999999999</v>
      </c>
      <c r="B59" s="2" t="s">
        <v>9</v>
      </c>
      <c r="C59" t="s">
        <v>36</v>
      </c>
      <c r="D59" t="s">
        <v>27</v>
      </c>
      <c r="E59" t="s">
        <v>28</v>
      </c>
      <c r="F59" s="10">
        <v>0</v>
      </c>
      <c r="G59" s="10">
        <v>0</v>
      </c>
      <c r="H59" s="10">
        <v>19.659099999999999</v>
      </c>
      <c r="I59" s="10">
        <v>-90</v>
      </c>
      <c r="K59" s="10">
        <f>SQRT((F59-F57)^2+(H59-H57)^2)</f>
        <v>0</v>
      </c>
      <c r="L59" s="10">
        <f>L57+K59</f>
        <v>19.659099999999999</v>
      </c>
    </row>
    <row r="60" spans="1:12" x14ac:dyDescent="0.35">
      <c r="A60" s="10">
        <v>21.183</v>
      </c>
      <c r="B60" s="2" t="s">
        <v>13</v>
      </c>
      <c r="C60" t="s">
        <v>36</v>
      </c>
      <c r="D60" t="s">
        <v>27</v>
      </c>
      <c r="E60" t="s">
        <v>28</v>
      </c>
      <c r="F60" s="10">
        <v>0</v>
      </c>
      <c r="G60" s="10">
        <v>0</v>
      </c>
      <c r="H60" s="10">
        <v>21.1831</v>
      </c>
      <c r="I60" s="10">
        <v>-90</v>
      </c>
      <c r="K60" s="10"/>
      <c r="L60" s="10">
        <f>(L59+L61)/2</f>
        <v>21.1831</v>
      </c>
    </row>
    <row r="61" spans="1:12" x14ac:dyDescent="0.35">
      <c r="A61" s="10">
        <v>22.707000000000001</v>
      </c>
      <c r="B61" s="2" t="s">
        <v>14</v>
      </c>
      <c r="C61" t="s">
        <v>36</v>
      </c>
      <c r="D61" t="s">
        <v>27</v>
      </c>
      <c r="E61" t="s">
        <v>28</v>
      </c>
      <c r="F61" s="10">
        <v>0</v>
      </c>
      <c r="G61" s="10">
        <v>0</v>
      </c>
      <c r="H61" s="10">
        <v>22.707100000000001</v>
      </c>
      <c r="I61" s="10">
        <v>-90</v>
      </c>
      <c r="K61" s="10">
        <f>SQRT((F61-F59)^2+(H61-H59)^2)</f>
        <v>3.0480000000000018</v>
      </c>
      <c r="L61" s="10">
        <f>L59+K61</f>
        <v>22.707100000000001</v>
      </c>
    </row>
    <row r="62" spans="1:12" x14ac:dyDescent="0.35">
      <c r="A62" s="10"/>
      <c r="B62" s="2" t="s">
        <v>15</v>
      </c>
      <c r="C62" t="s">
        <v>15</v>
      </c>
      <c r="D62" t="s">
        <v>15</v>
      </c>
      <c r="E62" t="s">
        <v>15</v>
      </c>
      <c r="F62" s="10"/>
      <c r="G62" s="10"/>
      <c r="H62" s="10"/>
      <c r="I62" s="10"/>
      <c r="K62" s="10"/>
      <c r="L62" s="10"/>
    </row>
    <row r="63" spans="1:12" x14ac:dyDescent="0.35">
      <c r="A63" s="10">
        <v>22.809000000000001</v>
      </c>
      <c r="B63" s="2" t="s">
        <v>9</v>
      </c>
      <c r="C63" t="s">
        <v>37</v>
      </c>
      <c r="D63" t="s">
        <v>11</v>
      </c>
      <c r="E63" t="s">
        <v>22</v>
      </c>
      <c r="F63" s="10">
        <v>0</v>
      </c>
      <c r="G63" s="10">
        <v>0</v>
      </c>
      <c r="H63" s="10">
        <v>22.808700000000002</v>
      </c>
      <c r="I63" s="10">
        <v>0</v>
      </c>
      <c r="K63" s="10">
        <f>SQRT((F63-F61)^2+(H63-H61)^2)</f>
        <v>0.10160000000000124</v>
      </c>
      <c r="L63" s="10">
        <f>L61+K63</f>
        <v>22.808700000000002</v>
      </c>
    </row>
    <row r="64" spans="1:12" x14ac:dyDescent="0.35">
      <c r="A64" s="10">
        <v>22.809000000000001</v>
      </c>
      <c r="B64" s="2" t="s">
        <v>13</v>
      </c>
      <c r="C64" t="s">
        <v>37</v>
      </c>
      <c r="D64" t="s">
        <v>11</v>
      </c>
      <c r="E64" t="s">
        <v>22</v>
      </c>
      <c r="F64" s="10">
        <v>0</v>
      </c>
      <c r="G64" s="10">
        <v>0</v>
      </c>
      <c r="H64" s="10">
        <v>22.808700000000002</v>
      </c>
      <c r="I64" s="10">
        <v>0</v>
      </c>
      <c r="K64" s="10"/>
      <c r="L64" s="10">
        <f>(L63+L65)/2</f>
        <v>22.808700000000002</v>
      </c>
    </row>
    <row r="65" spans="1:12" x14ac:dyDescent="0.35">
      <c r="A65" s="10">
        <v>22.809000000000001</v>
      </c>
      <c r="B65" s="2" t="s">
        <v>14</v>
      </c>
      <c r="C65" t="s">
        <v>37</v>
      </c>
      <c r="D65" t="s">
        <v>11</v>
      </c>
      <c r="E65" t="s">
        <v>22</v>
      </c>
      <c r="F65" s="10">
        <v>0</v>
      </c>
      <c r="G65" s="10">
        <v>0</v>
      </c>
      <c r="H65" s="10">
        <v>22.808700000000002</v>
      </c>
      <c r="I65" s="10">
        <v>0</v>
      </c>
      <c r="K65" s="10">
        <f>SQRT((F65-F63)^2+(H65-H63)^2)</f>
        <v>0</v>
      </c>
      <c r="L65" s="10">
        <f>L63+K65</f>
        <v>22.808700000000002</v>
      </c>
    </row>
    <row r="66" spans="1:12" x14ac:dyDescent="0.35">
      <c r="A66" s="10"/>
      <c r="B66" s="2" t="s">
        <v>15</v>
      </c>
      <c r="C66" t="s">
        <v>15</v>
      </c>
      <c r="D66" t="s">
        <v>15</v>
      </c>
      <c r="E66" t="s">
        <v>15</v>
      </c>
      <c r="F66" s="10"/>
      <c r="G66" s="10"/>
      <c r="H66" s="10"/>
      <c r="I66" s="10"/>
      <c r="K66" s="10"/>
      <c r="L66" s="10"/>
    </row>
    <row r="67" spans="1:12" x14ac:dyDescent="0.35">
      <c r="A67" s="10">
        <v>22.809000000000001</v>
      </c>
      <c r="B67" s="2" t="s">
        <v>9</v>
      </c>
      <c r="C67" t="s">
        <v>38</v>
      </c>
      <c r="D67" t="s">
        <v>27</v>
      </c>
      <c r="E67" t="s">
        <v>28</v>
      </c>
      <c r="F67" s="10">
        <v>0</v>
      </c>
      <c r="G67" s="10">
        <v>0</v>
      </c>
      <c r="H67" s="10">
        <v>22.808700000000002</v>
      </c>
      <c r="I67" s="10">
        <v>-90</v>
      </c>
      <c r="K67" s="10">
        <f>SQRT((F67-F65)^2+(H67-H65)^2)</f>
        <v>0</v>
      </c>
      <c r="L67" s="10">
        <f>L65+K67</f>
        <v>22.808700000000002</v>
      </c>
    </row>
    <row r="68" spans="1:12" x14ac:dyDescent="0.35">
      <c r="A68" s="10">
        <v>24.332999999999998</v>
      </c>
      <c r="B68" s="2" t="s">
        <v>13</v>
      </c>
      <c r="C68" t="s">
        <v>38</v>
      </c>
      <c r="D68" t="s">
        <v>27</v>
      </c>
      <c r="E68" t="s">
        <v>28</v>
      </c>
      <c r="F68" s="10">
        <v>0</v>
      </c>
      <c r="G68" s="10">
        <v>0</v>
      </c>
      <c r="H68" s="10">
        <v>24.332699999999999</v>
      </c>
      <c r="I68" s="10">
        <v>-90</v>
      </c>
      <c r="K68" s="10"/>
      <c r="L68" s="10">
        <f>(L67+L69)/2</f>
        <v>24.332700000000003</v>
      </c>
    </row>
    <row r="69" spans="1:12" x14ac:dyDescent="0.35">
      <c r="A69" s="10">
        <v>25.856999999999999</v>
      </c>
      <c r="B69" s="2" t="s">
        <v>14</v>
      </c>
      <c r="C69" t="s">
        <v>38</v>
      </c>
      <c r="D69" t="s">
        <v>27</v>
      </c>
      <c r="E69" t="s">
        <v>28</v>
      </c>
      <c r="F69" s="10">
        <v>0</v>
      </c>
      <c r="G69" s="10">
        <v>0</v>
      </c>
      <c r="H69" s="10">
        <v>25.8567</v>
      </c>
      <c r="I69" s="10">
        <v>-90</v>
      </c>
      <c r="K69" s="10">
        <f>SQRT((F69-F67)^2+(H69-H67)^2)</f>
        <v>3.0479999999999983</v>
      </c>
      <c r="L69" s="10">
        <f>L67+K69</f>
        <v>25.8567</v>
      </c>
    </row>
    <row r="70" spans="1:12" x14ac:dyDescent="0.35">
      <c r="A70" s="10"/>
      <c r="B70" s="2" t="s">
        <v>15</v>
      </c>
      <c r="C70" t="s">
        <v>15</v>
      </c>
      <c r="D70" t="s">
        <v>15</v>
      </c>
      <c r="E70" t="s">
        <v>15</v>
      </c>
      <c r="F70" s="10"/>
      <c r="G70" s="10"/>
      <c r="H70" s="10"/>
      <c r="I70" s="10"/>
      <c r="K70" s="10"/>
      <c r="L70" s="10"/>
    </row>
    <row r="71" spans="1:12" x14ac:dyDescent="0.35">
      <c r="A71" s="10">
        <v>25.957999999999998</v>
      </c>
      <c r="B71" s="2" t="s">
        <v>9</v>
      </c>
      <c r="C71" t="s">
        <v>39</v>
      </c>
      <c r="D71" t="s">
        <v>11</v>
      </c>
      <c r="E71" t="s">
        <v>24</v>
      </c>
      <c r="F71" s="10">
        <v>0</v>
      </c>
      <c r="G71" s="10">
        <v>0</v>
      </c>
      <c r="H71" s="10">
        <v>25.958300000000001</v>
      </c>
      <c r="I71" s="10">
        <v>0</v>
      </c>
      <c r="K71" s="10">
        <f>SQRT((F71-F69)^2+(H71-H69)^2)</f>
        <v>0.10160000000000124</v>
      </c>
      <c r="L71" s="10">
        <f>L69+K71</f>
        <v>25.958300000000001</v>
      </c>
    </row>
    <row r="72" spans="1:12" x14ac:dyDescent="0.35">
      <c r="A72" s="10">
        <v>25.957999999999998</v>
      </c>
      <c r="B72" s="2" t="s">
        <v>13</v>
      </c>
      <c r="C72" t="s">
        <v>39</v>
      </c>
      <c r="D72" t="s">
        <v>11</v>
      </c>
      <c r="E72" t="s">
        <v>24</v>
      </c>
      <c r="F72" s="10">
        <v>0</v>
      </c>
      <c r="G72" s="10">
        <v>0</v>
      </c>
      <c r="H72" s="10">
        <v>25.958300000000001</v>
      </c>
      <c r="I72" s="10">
        <v>0</v>
      </c>
      <c r="K72" s="10"/>
      <c r="L72" s="10">
        <f>(L71+L73)/2</f>
        <v>25.958300000000001</v>
      </c>
    </row>
    <row r="73" spans="1:12" x14ac:dyDescent="0.35">
      <c r="A73" s="10">
        <v>25.957999999999998</v>
      </c>
      <c r="B73" s="2" t="s">
        <v>14</v>
      </c>
      <c r="C73" t="s">
        <v>39</v>
      </c>
      <c r="D73" t="s">
        <v>11</v>
      </c>
      <c r="E73" t="s">
        <v>24</v>
      </c>
      <c r="F73" s="10">
        <v>0</v>
      </c>
      <c r="G73" s="10">
        <v>0</v>
      </c>
      <c r="H73" s="10">
        <v>25.958300000000001</v>
      </c>
      <c r="I73" s="10">
        <v>0</v>
      </c>
      <c r="K73" s="10">
        <f>SQRT((F73-F71)^2+(H73-H71)^2)</f>
        <v>0</v>
      </c>
      <c r="L73" s="10">
        <f>L71+K73</f>
        <v>25.958300000000001</v>
      </c>
    </row>
    <row r="74" spans="1:12" x14ac:dyDescent="0.35">
      <c r="A74" s="10"/>
      <c r="B74" s="2" t="s">
        <v>15</v>
      </c>
      <c r="C74" t="s">
        <v>15</v>
      </c>
      <c r="D74" t="s">
        <v>15</v>
      </c>
      <c r="E74" t="s">
        <v>15</v>
      </c>
      <c r="F74" s="10"/>
      <c r="G74" s="10"/>
      <c r="H74" s="10"/>
      <c r="I74" s="10"/>
      <c r="K74" s="10"/>
      <c r="L74" s="10"/>
    </row>
    <row r="75" spans="1:12" x14ac:dyDescent="0.35">
      <c r="A75" s="10">
        <v>26.212</v>
      </c>
      <c r="B75" s="2" t="s">
        <v>9</v>
      </c>
      <c r="C75" t="s">
        <v>40</v>
      </c>
      <c r="D75" t="s">
        <v>11</v>
      </c>
      <c r="E75" t="s">
        <v>22</v>
      </c>
      <c r="F75" s="10">
        <v>0</v>
      </c>
      <c r="G75" s="10">
        <v>0</v>
      </c>
      <c r="H75" s="10">
        <v>26.212299999999999</v>
      </c>
      <c r="I75" s="10">
        <v>0</v>
      </c>
      <c r="K75" s="10">
        <f>SQRT((F75-F73)^2+(H75-H73)^2)</f>
        <v>0.25399999999999778</v>
      </c>
      <c r="L75" s="10">
        <f>L73+K75</f>
        <v>26.212299999999999</v>
      </c>
    </row>
    <row r="76" spans="1:12" x14ac:dyDescent="0.35">
      <c r="A76" s="10">
        <v>26.212</v>
      </c>
      <c r="B76" s="2" t="s">
        <v>13</v>
      </c>
      <c r="C76" t="s">
        <v>40</v>
      </c>
      <c r="D76" t="s">
        <v>11</v>
      </c>
      <c r="E76" t="s">
        <v>22</v>
      </c>
      <c r="F76" s="10">
        <v>0</v>
      </c>
      <c r="G76" s="10">
        <v>0</v>
      </c>
      <c r="H76" s="10">
        <v>26.212299999999999</v>
      </c>
      <c r="I76" s="10">
        <v>0</v>
      </c>
      <c r="K76" s="10"/>
      <c r="L76" s="10">
        <f>(L75+L77)/2</f>
        <v>26.212299999999999</v>
      </c>
    </row>
    <row r="77" spans="1:12" x14ac:dyDescent="0.35">
      <c r="A77" s="10">
        <v>26.212</v>
      </c>
      <c r="B77" s="2" t="s">
        <v>14</v>
      </c>
      <c r="C77" t="s">
        <v>40</v>
      </c>
      <c r="D77" t="s">
        <v>11</v>
      </c>
      <c r="E77" t="s">
        <v>22</v>
      </c>
      <c r="F77" s="10">
        <v>0</v>
      </c>
      <c r="G77" s="10">
        <v>0</v>
      </c>
      <c r="H77" s="10">
        <v>26.212299999999999</v>
      </c>
      <c r="I77" s="10">
        <v>0</v>
      </c>
      <c r="K77" s="10">
        <f>SQRT((F77-F75)^2+(H77-H75)^2)</f>
        <v>0</v>
      </c>
      <c r="L77" s="10">
        <f>L75+K77</f>
        <v>26.212299999999999</v>
      </c>
    </row>
    <row r="78" spans="1:12" x14ac:dyDescent="0.35">
      <c r="A78" s="10"/>
      <c r="B78" s="2" t="s">
        <v>15</v>
      </c>
      <c r="C78" t="s">
        <v>15</v>
      </c>
      <c r="D78" t="s">
        <v>15</v>
      </c>
      <c r="E78" t="s">
        <v>15</v>
      </c>
      <c r="F78" s="10"/>
      <c r="G78" s="10"/>
      <c r="H78" s="10"/>
      <c r="I78" s="10"/>
      <c r="K78" s="10"/>
      <c r="L78" s="10"/>
    </row>
    <row r="79" spans="1:12" x14ac:dyDescent="0.35">
      <c r="A79" s="10">
        <v>26.212</v>
      </c>
      <c r="B79" s="2" t="s">
        <v>9</v>
      </c>
      <c r="C79" t="s">
        <v>41</v>
      </c>
      <c r="D79" t="s">
        <v>11</v>
      </c>
      <c r="E79" t="s">
        <v>22</v>
      </c>
      <c r="F79" s="10">
        <v>0</v>
      </c>
      <c r="G79" s="10">
        <v>0</v>
      </c>
      <c r="H79" s="10">
        <v>26.212299999999999</v>
      </c>
      <c r="I79" s="10">
        <v>0</v>
      </c>
      <c r="K79" s="10">
        <f>SQRT((F79-F77)^2+(H79-H77)^2)</f>
        <v>0</v>
      </c>
      <c r="L79" s="10">
        <f>L77+K79</f>
        <v>26.212299999999999</v>
      </c>
    </row>
    <row r="80" spans="1:12" x14ac:dyDescent="0.35">
      <c r="A80" s="10">
        <v>26.212</v>
      </c>
      <c r="B80" s="2" t="s">
        <v>13</v>
      </c>
      <c r="C80" t="s">
        <v>41</v>
      </c>
      <c r="D80" t="s">
        <v>11</v>
      </c>
      <c r="E80" t="s">
        <v>22</v>
      </c>
      <c r="F80" s="10">
        <v>0</v>
      </c>
      <c r="G80" s="10">
        <v>0</v>
      </c>
      <c r="H80" s="10">
        <v>26.212299999999999</v>
      </c>
      <c r="I80" s="10">
        <v>0</v>
      </c>
      <c r="K80" s="10"/>
      <c r="L80" s="10">
        <f>(L79+L81)/2</f>
        <v>26.212299999999999</v>
      </c>
    </row>
    <row r="81" spans="1:12" x14ac:dyDescent="0.35">
      <c r="A81" s="10">
        <v>26.212</v>
      </c>
      <c r="B81" s="2" t="s">
        <v>14</v>
      </c>
      <c r="C81" t="s">
        <v>41</v>
      </c>
      <c r="D81" t="s">
        <v>11</v>
      </c>
      <c r="E81" t="s">
        <v>22</v>
      </c>
      <c r="F81" s="10">
        <v>0</v>
      </c>
      <c r="G81" s="10">
        <v>0</v>
      </c>
      <c r="H81" s="10">
        <v>26.212299999999999</v>
      </c>
      <c r="I81" s="10">
        <v>0</v>
      </c>
      <c r="K81" s="10">
        <f>SQRT((F81-F79)^2+(H81-H79)^2)</f>
        <v>0</v>
      </c>
      <c r="L81" s="10">
        <f>L79+K81</f>
        <v>26.212299999999999</v>
      </c>
    </row>
    <row r="82" spans="1:12" x14ac:dyDescent="0.35">
      <c r="A82" s="10"/>
      <c r="B82" s="2" t="s">
        <v>15</v>
      </c>
      <c r="C82" t="s">
        <v>15</v>
      </c>
      <c r="D82" t="s">
        <v>15</v>
      </c>
      <c r="E82" t="s">
        <v>15</v>
      </c>
      <c r="F82" s="10"/>
      <c r="G82" s="10"/>
      <c r="H82" s="10"/>
      <c r="I82" s="10"/>
      <c r="K82" s="10"/>
      <c r="L82" s="10"/>
    </row>
    <row r="83" spans="1:12" x14ac:dyDescent="0.35">
      <c r="A83" s="10">
        <v>26.212</v>
      </c>
      <c r="B83" s="2" t="s">
        <v>9</v>
      </c>
      <c r="C83" t="s">
        <v>42</v>
      </c>
      <c r="D83" t="s">
        <v>43</v>
      </c>
      <c r="E83" t="s">
        <v>44</v>
      </c>
      <c r="F83" s="10">
        <v>0</v>
      </c>
      <c r="G83" s="10">
        <v>0</v>
      </c>
      <c r="H83" s="10">
        <v>26.212299999999999</v>
      </c>
      <c r="I83" s="10">
        <v>0</v>
      </c>
      <c r="K83" s="10">
        <f>SQRT((F83-F81)^2+(H83-H81)^2)</f>
        <v>0</v>
      </c>
      <c r="L83" s="10">
        <f>L81+K83</f>
        <v>26.212299999999999</v>
      </c>
    </row>
    <row r="84" spans="1:12" x14ac:dyDescent="0.35">
      <c r="A84" s="10">
        <v>27.736000000000001</v>
      </c>
      <c r="B84" s="2" t="s">
        <v>13</v>
      </c>
      <c r="C84" t="s">
        <v>42</v>
      </c>
      <c r="D84" t="s">
        <v>43</v>
      </c>
      <c r="E84" t="s">
        <v>44</v>
      </c>
      <c r="F84" s="10">
        <v>0</v>
      </c>
      <c r="G84" s="10">
        <v>0</v>
      </c>
      <c r="H84" s="10">
        <v>27.7363</v>
      </c>
      <c r="I84" s="10">
        <v>0</v>
      </c>
      <c r="K84" s="10"/>
      <c r="L84" s="10">
        <f>(L83+L85)/2</f>
        <v>27.7363</v>
      </c>
    </row>
    <row r="85" spans="1:12" x14ac:dyDescent="0.35">
      <c r="A85" s="10">
        <v>29.26</v>
      </c>
      <c r="B85" s="2" t="s">
        <v>14</v>
      </c>
      <c r="C85" t="s">
        <v>42</v>
      </c>
      <c r="D85" t="s">
        <v>43</v>
      </c>
      <c r="E85" t="s">
        <v>44</v>
      </c>
      <c r="F85" s="10">
        <v>0</v>
      </c>
      <c r="G85" s="10">
        <v>0</v>
      </c>
      <c r="H85" s="10">
        <v>29.260300000000001</v>
      </c>
      <c r="I85" s="10">
        <v>0</v>
      </c>
      <c r="K85" s="10">
        <f>SQRT((F85-F83)^2+(H85-H83)^2)</f>
        <v>3.0480000000000018</v>
      </c>
      <c r="L85" s="10">
        <f>L83+K85</f>
        <v>29.260300000000001</v>
      </c>
    </row>
    <row r="86" spans="1:12" x14ac:dyDescent="0.35">
      <c r="A86" s="10"/>
      <c r="B86" s="2" t="s">
        <v>15</v>
      </c>
      <c r="C86" t="s">
        <v>15</v>
      </c>
      <c r="D86" t="s">
        <v>15</v>
      </c>
      <c r="E86" t="s">
        <v>15</v>
      </c>
      <c r="F86" s="10"/>
      <c r="G86" s="10"/>
      <c r="H86" s="10"/>
      <c r="I86" s="10"/>
      <c r="K86" s="10"/>
      <c r="L86" s="10"/>
    </row>
    <row r="87" spans="1:12" x14ac:dyDescent="0.35">
      <c r="A87" s="10">
        <v>29.337</v>
      </c>
      <c r="B87" s="2" t="s">
        <v>9</v>
      </c>
      <c r="C87" t="s">
        <v>45</v>
      </c>
      <c r="D87" t="s">
        <v>11</v>
      </c>
      <c r="E87" t="s">
        <v>22</v>
      </c>
      <c r="F87" s="10">
        <v>0</v>
      </c>
      <c r="G87" s="10">
        <v>0</v>
      </c>
      <c r="H87" s="10">
        <v>29.336500000000001</v>
      </c>
      <c r="I87" s="10">
        <v>0</v>
      </c>
      <c r="K87" s="10">
        <f>SQRT((F87-F85)^2+(H87-H85)^2)</f>
        <v>7.6200000000000045E-2</v>
      </c>
      <c r="L87" s="10">
        <f>L85+K87</f>
        <v>29.336500000000001</v>
      </c>
    </row>
    <row r="88" spans="1:12" x14ac:dyDescent="0.35">
      <c r="A88" s="10">
        <v>29.337</v>
      </c>
      <c r="B88" s="2" t="s">
        <v>13</v>
      </c>
      <c r="C88" t="s">
        <v>45</v>
      </c>
      <c r="D88" t="s">
        <v>11</v>
      </c>
      <c r="E88" t="s">
        <v>22</v>
      </c>
      <c r="F88" s="10">
        <v>0</v>
      </c>
      <c r="G88" s="10">
        <v>0</v>
      </c>
      <c r="H88" s="10">
        <v>29.336500000000001</v>
      </c>
      <c r="I88" s="10">
        <v>0</v>
      </c>
      <c r="K88" s="10"/>
      <c r="L88" s="10">
        <f>(L87+L89)/2</f>
        <v>29.336500000000001</v>
      </c>
    </row>
    <row r="89" spans="1:12" x14ac:dyDescent="0.35">
      <c r="A89" s="10">
        <v>29.337</v>
      </c>
      <c r="B89" s="2" t="s">
        <v>14</v>
      </c>
      <c r="C89" t="s">
        <v>45</v>
      </c>
      <c r="D89" t="s">
        <v>11</v>
      </c>
      <c r="E89" t="s">
        <v>22</v>
      </c>
      <c r="F89" s="10">
        <v>0</v>
      </c>
      <c r="G89" s="10">
        <v>0</v>
      </c>
      <c r="H89" s="10">
        <v>29.336500000000001</v>
      </c>
      <c r="I89" s="10">
        <v>0</v>
      </c>
      <c r="K89" s="10">
        <f>SQRT((F89-F87)^2+(H89-H87)^2)</f>
        <v>0</v>
      </c>
      <c r="L89" s="10">
        <f>L87+K89</f>
        <v>29.336500000000001</v>
      </c>
    </row>
    <row r="90" spans="1:12" x14ac:dyDescent="0.35">
      <c r="A90" s="10"/>
      <c r="B90" s="2" t="s">
        <v>15</v>
      </c>
      <c r="C90" t="s">
        <v>15</v>
      </c>
      <c r="D90" t="s">
        <v>15</v>
      </c>
      <c r="E90" t="s">
        <v>15</v>
      </c>
      <c r="F90" s="10"/>
      <c r="G90" s="10"/>
      <c r="H90" s="10"/>
      <c r="I90" s="10"/>
      <c r="K90" s="10"/>
      <c r="L90" s="10"/>
    </row>
    <row r="91" spans="1:12" x14ac:dyDescent="0.35">
      <c r="A91" s="10">
        <v>29.337</v>
      </c>
      <c r="B91" s="2" t="s">
        <v>9</v>
      </c>
      <c r="C91" t="s">
        <v>46</v>
      </c>
      <c r="D91" t="s">
        <v>27</v>
      </c>
      <c r="E91" t="s">
        <v>44</v>
      </c>
      <c r="F91" s="10">
        <v>0</v>
      </c>
      <c r="G91" s="10">
        <v>0</v>
      </c>
      <c r="H91" s="10">
        <v>29.336500000000001</v>
      </c>
      <c r="I91" s="10">
        <v>0</v>
      </c>
      <c r="K91" s="10">
        <f>SQRT((F91-F89)^2+(H91-H89)^2)</f>
        <v>0</v>
      </c>
      <c r="L91" s="10">
        <f>L89+K91</f>
        <v>29.336500000000001</v>
      </c>
    </row>
    <row r="92" spans="1:12" x14ac:dyDescent="0.35">
      <c r="A92" s="10">
        <v>30.861000000000001</v>
      </c>
      <c r="B92" s="2" t="s">
        <v>13</v>
      </c>
      <c r="C92" t="s">
        <v>46</v>
      </c>
      <c r="D92" t="s">
        <v>27</v>
      </c>
      <c r="E92" t="s">
        <v>44</v>
      </c>
      <c r="F92" s="10">
        <v>-4.4999999999999999E-4</v>
      </c>
      <c r="G92" s="10">
        <v>0</v>
      </c>
      <c r="H92" s="10">
        <v>30.860499999999998</v>
      </c>
      <c r="I92" s="10">
        <v>0</v>
      </c>
      <c r="K92" s="10"/>
      <c r="L92" s="10">
        <f>(L91+L93)/2</f>
        <v>30.860500066437009</v>
      </c>
    </row>
    <row r="93" spans="1:12" x14ac:dyDescent="0.35">
      <c r="A93" s="10">
        <v>32.384999999999998</v>
      </c>
      <c r="B93" s="2" t="s">
        <v>14</v>
      </c>
      <c r="C93" t="s">
        <v>46</v>
      </c>
      <c r="D93" t="s">
        <v>27</v>
      </c>
      <c r="E93" t="s">
        <v>44</v>
      </c>
      <c r="F93" s="10">
        <v>-8.9999999999999998E-4</v>
      </c>
      <c r="G93" s="10">
        <v>0</v>
      </c>
      <c r="H93" s="10">
        <v>32.384500000000003</v>
      </c>
      <c r="I93" s="10">
        <v>0</v>
      </c>
      <c r="K93" s="10">
        <f>SQRT((F93-F91)^2+(H93-H91)^2)</f>
        <v>3.0480001328740145</v>
      </c>
      <c r="L93" s="10">
        <f>L91+K93</f>
        <v>32.384500132874017</v>
      </c>
    </row>
    <row r="94" spans="1:12" x14ac:dyDescent="0.35">
      <c r="A94" s="10"/>
      <c r="B94" s="2" t="s">
        <v>15</v>
      </c>
      <c r="C94" t="s">
        <v>15</v>
      </c>
      <c r="D94" t="s">
        <v>15</v>
      </c>
      <c r="E94" t="s">
        <v>15</v>
      </c>
      <c r="F94" s="10"/>
      <c r="G94" s="10"/>
      <c r="H94" s="10"/>
      <c r="I94" s="10"/>
      <c r="K94" s="10"/>
      <c r="L94" s="10"/>
    </row>
    <row r="95" spans="1:12" x14ac:dyDescent="0.35">
      <c r="A95" s="10">
        <v>32.485999999999997</v>
      </c>
      <c r="B95" s="2" t="s">
        <v>9</v>
      </c>
      <c r="C95" t="s">
        <v>47</v>
      </c>
      <c r="D95" t="s">
        <v>27</v>
      </c>
      <c r="E95" t="s">
        <v>44</v>
      </c>
      <c r="F95" s="10">
        <v>-1E-3</v>
      </c>
      <c r="G95" s="10">
        <v>0</v>
      </c>
      <c r="H95" s="10">
        <v>32.4861</v>
      </c>
      <c r="I95" s="10">
        <v>0</v>
      </c>
      <c r="K95" s="10">
        <f>SQRT((F95-F93)^2+(H95-H93)^2)</f>
        <v>0.1016000492125842</v>
      </c>
      <c r="L95" s="10">
        <f>L93+K95</f>
        <v>32.486100182086602</v>
      </c>
    </row>
    <row r="96" spans="1:12" x14ac:dyDescent="0.35">
      <c r="A96" s="10">
        <v>34.01</v>
      </c>
      <c r="B96" s="2" t="s">
        <v>13</v>
      </c>
      <c r="C96" t="s">
        <v>47</v>
      </c>
      <c r="D96" t="s">
        <v>27</v>
      </c>
      <c r="E96" t="s">
        <v>44</v>
      </c>
      <c r="F96" s="10">
        <v>-2.3999999999999998E-3</v>
      </c>
      <c r="G96" s="10">
        <v>0</v>
      </c>
      <c r="H96" s="10">
        <v>34.010100000000001</v>
      </c>
      <c r="I96" s="10">
        <v>0</v>
      </c>
      <c r="K96" s="10"/>
      <c r="L96" s="10">
        <f>(L95+L97)/2</f>
        <v>34.01010082513109</v>
      </c>
    </row>
    <row r="97" spans="1:12" x14ac:dyDescent="0.35">
      <c r="A97" s="10">
        <v>35.533999999999999</v>
      </c>
      <c r="B97" s="2" t="s">
        <v>14</v>
      </c>
      <c r="C97" t="s">
        <v>47</v>
      </c>
      <c r="D97" t="s">
        <v>27</v>
      </c>
      <c r="E97" t="s">
        <v>44</v>
      </c>
      <c r="F97" s="10">
        <v>-3.8E-3</v>
      </c>
      <c r="G97" s="10">
        <v>0</v>
      </c>
      <c r="H97" s="10">
        <v>35.534100000000002</v>
      </c>
      <c r="I97" s="10">
        <v>0</v>
      </c>
      <c r="K97" s="10">
        <f>SQRT((F97-F95)^2+(H97-H95)^2)</f>
        <v>3.0480012860889696</v>
      </c>
      <c r="L97" s="10">
        <f>L95+K97</f>
        <v>35.534101468175571</v>
      </c>
    </row>
    <row r="98" spans="1:12" x14ac:dyDescent="0.35">
      <c r="A98" s="10"/>
      <c r="B98" s="2" t="s">
        <v>15</v>
      </c>
      <c r="C98" t="s">
        <v>15</v>
      </c>
      <c r="D98" t="s">
        <v>15</v>
      </c>
      <c r="E98" t="s">
        <v>15</v>
      </c>
      <c r="F98" s="10"/>
      <c r="G98" s="10"/>
      <c r="H98" s="10"/>
      <c r="I98" s="10"/>
    </row>
    <row r="99" spans="1:12" x14ac:dyDescent="0.35">
      <c r="A99" s="10">
        <v>35.636000000000003</v>
      </c>
      <c r="B99" s="2" t="s">
        <v>9</v>
      </c>
      <c r="C99" t="s">
        <v>48</v>
      </c>
      <c r="D99" t="s">
        <v>27</v>
      </c>
      <c r="E99" t="s">
        <v>44</v>
      </c>
      <c r="F99" s="10">
        <v>-3.8999999999999998E-3</v>
      </c>
      <c r="G99" s="10">
        <v>0</v>
      </c>
      <c r="H99" s="10">
        <v>35.6357</v>
      </c>
      <c r="I99" s="10">
        <v>0</v>
      </c>
      <c r="K99" s="10">
        <f t="shared" ref="K99" si="0">SQRT((F99-F97)^2+(H99-H97)^2)</f>
        <v>0.1016000492125842</v>
      </c>
      <c r="L99" s="10">
        <f t="shared" ref="L99" si="1">L97+K99</f>
        <v>35.635701517388156</v>
      </c>
    </row>
    <row r="100" spans="1:12" x14ac:dyDescent="0.35">
      <c r="A100" s="10">
        <v>37.159999999999997</v>
      </c>
      <c r="B100" s="2" t="s">
        <v>13</v>
      </c>
      <c r="C100" t="s">
        <v>48</v>
      </c>
      <c r="D100" t="s">
        <v>27</v>
      </c>
      <c r="E100" t="s">
        <v>44</v>
      </c>
      <c r="F100" s="10">
        <v>-6.2500000000000003E-3</v>
      </c>
      <c r="G100" s="10">
        <v>0</v>
      </c>
      <c r="H100" s="10">
        <v>37.159700000000001</v>
      </c>
      <c r="I100" s="10">
        <v>0</v>
      </c>
      <c r="K100" s="10"/>
      <c r="L100" s="10">
        <f t="shared" ref="L100" si="2">(L99+L101)/2</f>
        <v>37.159703329230908</v>
      </c>
    </row>
    <row r="101" spans="1:12" x14ac:dyDescent="0.35">
      <c r="A101" s="10">
        <v>38.683999999999997</v>
      </c>
      <c r="B101" s="2" t="s">
        <v>14</v>
      </c>
      <c r="C101" t="s">
        <v>48</v>
      </c>
      <c r="D101" t="s">
        <v>27</v>
      </c>
      <c r="E101" t="s">
        <v>44</v>
      </c>
      <c r="F101" s="10">
        <v>-8.6E-3</v>
      </c>
      <c r="G101" s="10">
        <v>0</v>
      </c>
      <c r="H101" s="10">
        <v>38.683700000000002</v>
      </c>
      <c r="I101" s="10">
        <v>0</v>
      </c>
      <c r="K101" s="10">
        <f t="shared" ref="K101" si="3">SQRT((F101-F99)^2+(H101-H99)^2)</f>
        <v>3.0480036236855117</v>
      </c>
      <c r="L101" s="10">
        <f t="shared" ref="L101" si="4">L99+K101</f>
        <v>38.683705141073666</v>
      </c>
    </row>
    <row r="102" spans="1:12" x14ac:dyDescent="0.35">
      <c r="A102" s="10"/>
      <c r="B102" s="2" t="s">
        <v>15</v>
      </c>
      <c r="C102" t="s">
        <v>15</v>
      </c>
      <c r="D102" t="s">
        <v>15</v>
      </c>
      <c r="E102" t="s">
        <v>15</v>
      </c>
      <c r="F102" s="10"/>
      <c r="G102" s="10"/>
      <c r="H102" s="10"/>
      <c r="I102" s="10"/>
      <c r="K102" s="10"/>
      <c r="L102" s="10"/>
    </row>
    <row r="103" spans="1:12" x14ac:dyDescent="0.35">
      <c r="A103" s="10">
        <v>38.784999999999997</v>
      </c>
      <c r="B103" s="2" t="s">
        <v>9</v>
      </c>
      <c r="C103" t="s">
        <v>49</v>
      </c>
      <c r="D103" t="s">
        <v>27</v>
      </c>
      <c r="E103" t="s">
        <v>44</v>
      </c>
      <c r="F103" s="10">
        <v>-8.8000000000000005E-3</v>
      </c>
      <c r="G103" s="10">
        <v>0</v>
      </c>
      <c r="H103" s="10">
        <v>38.785299999999999</v>
      </c>
      <c r="I103" s="10">
        <v>0</v>
      </c>
      <c r="K103" s="10">
        <f t="shared" ref="K103" si="5">SQRT((F103-F101)^2+(H103-H101)^2)</f>
        <v>0.10160019685020069</v>
      </c>
      <c r="L103" s="10">
        <f t="shared" ref="L103" si="6">L101+K103</f>
        <v>38.785305337923866</v>
      </c>
    </row>
    <row r="104" spans="1:12" x14ac:dyDescent="0.35">
      <c r="A104" s="10">
        <v>40.308999999999997</v>
      </c>
      <c r="B104" s="2" t="s">
        <v>13</v>
      </c>
      <c r="C104" t="s">
        <v>49</v>
      </c>
      <c r="D104" t="s">
        <v>27</v>
      </c>
      <c r="E104" t="s">
        <v>44</v>
      </c>
      <c r="F104" s="10">
        <v>-1.21E-2</v>
      </c>
      <c r="G104" s="10">
        <v>0</v>
      </c>
      <c r="H104" s="10">
        <v>40.3093</v>
      </c>
      <c r="I104" s="10">
        <v>0</v>
      </c>
      <c r="K104" s="10"/>
      <c r="L104" s="10">
        <f t="shared" ref="L104" si="7">(L103+L105)/2</f>
        <v>40.309308910754325</v>
      </c>
    </row>
    <row r="105" spans="1:12" x14ac:dyDescent="0.35">
      <c r="A105" s="10">
        <v>41.832999999999998</v>
      </c>
      <c r="B105" s="2" t="s">
        <v>14</v>
      </c>
      <c r="C105" t="s">
        <v>49</v>
      </c>
      <c r="D105" t="s">
        <v>27</v>
      </c>
      <c r="E105" t="s">
        <v>44</v>
      </c>
      <c r="F105" s="10">
        <v>-1.54E-2</v>
      </c>
      <c r="G105" s="10">
        <v>0</v>
      </c>
      <c r="H105" s="10">
        <v>41.833300000000001</v>
      </c>
      <c r="I105" s="10">
        <v>0</v>
      </c>
      <c r="K105" s="10">
        <f t="shared" ref="K105" si="8">SQRT((F105-F103)^2+(H105-H103)^2)</f>
        <v>3.0480071456609172</v>
      </c>
      <c r="L105" s="10">
        <f t="shared" ref="L105" si="9">L103+K105</f>
        <v>41.833312483584784</v>
      </c>
    </row>
    <row r="106" spans="1:12" x14ac:dyDescent="0.35">
      <c r="A106" s="10"/>
      <c r="B106" s="2" t="s">
        <v>15</v>
      </c>
      <c r="C106" t="s">
        <v>15</v>
      </c>
      <c r="D106" t="s">
        <v>15</v>
      </c>
      <c r="E106" t="s">
        <v>15</v>
      </c>
      <c r="F106" s="10"/>
      <c r="G106" s="10"/>
      <c r="H106" s="10"/>
      <c r="I106" s="10"/>
      <c r="K106" s="10"/>
      <c r="L106" s="10"/>
    </row>
    <row r="107" spans="1:12" x14ac:dyDescent="0.35">
      <c r="A107" s="10">
        <v>41.935000000000002</v>
      </c>
      <c r="B107" s="2" t="s">
        <v>9</v>
      </c>
      <c r="C107" t="s">
        <v>50</v>
      </c>
      <c r="D107" t="s">
        <v>27</v>
      </c>
      <c r="E107" t="s">
        <v>44</v>
      </c>
      <c r="F107" s="10">
        <v>-1.5699999999999999E-2</v>
      </c>
      <c r="G107" s="10">
        <v>0</v>
      </c>
      <c r="H107" s="10">
        <v>41.934899999999999</v>
      </c>
      <c r="I107" s="10">
        <v>0</v>
      </c>
      <c r="K107" s="10">
        <f t="shared" ref="K107" si="10">SQRT((F107-F105)^2+(H107-H105)^2)</f>
        <v>0.10160044291241811</v>
      </c>
      <c r="L107" s="10">
        <f t="shared" ref="L107" si="11">L105+K107</f>
        <v>41.934912926497205</v>
      </c>
    </row>
    <row r="108" spans="1:12" x14ac:dyDescent="0.35">
      <c r="A108" s="10">
        <v>43.459000000000003</v>
      </c>
      <c r="B108" s="2" t="s">
        <v>13</v>
      </c>
      <c r="C108" t="s">
        <v>50</v>
      </c>
      <c r="D108" t="s">
        <v>27</v>
      </c>
      <c r="E108" t="s">
        <v>44</v>
      </c>
      <c r="F108" s="10">
        <v>-1.9900000000000001E-2</v>
      </c>
      <c r="G108" s="10">
        <v>0</v>
      </c>
      <c r="H108" s="10">
        <v>43.458849999999998</v>
      </c>
      <c r="I108" s="10">
        <v>0</v>
      </c>
      <c r="K108" s="10"/>
      <c r="L108" s="10">
        <f t="shared" ref="L108" si="12">(L107+L109)/2</f>
        <v>43.458868714077667</v>
      </c>
    </row>
    <row r="109" spans="1:12" x14ac:dyDescent="0.35">
      <c r="A109" s="10">
        <v>44.982999999999997</v>
      </c>
      <c r="B109" s="2" t="s">
        <v>14</v>
      </c>
      <c r="C109" t="s">
        <v>50</v>
      </c>
      <c r="D109" t="s">
        <v>27</v>
      </c>
      <c r="E109" t="s">
        <v>44</v>
      </c>
      <c r="F109" s="10">
        <v>-2.41E-2</v>
      </c>
      <c r="G109" s="10">
        <v>0</v>
      </c>
      <c r="H109" s="10">
        <v>44.982799999999997</v>
      </c>
      <c r="I109" s="10">
        <v>0</v>
      </c>
      <c r="K109" s="10">
        <f t="shared" ref="K109" si="13">SQRT((F109-F107)^2+(H109-H107)^2)</f>
        <v>3.0479115751609314</v>
      </c>
      <c r="L109" s="10">
        <f t="shared" ref="L109" si="14">L107+K109</f>
        <v>44.982824501658136</v>
      </c>
    </row>
    <row r="110" spans="1:12" x14ac:dyDescent="0.35">
      <c r="A110" s="10"/>
      <c r="B110" s="2" t="s">
        <v>15</v>
      </c>
      <c r="C110" t="s">
        <v>15</v>
      </c>
      <c r="D110" t="s">
        <v>15</v>
      </c>
      <c r="E110" t="s">
        <v>15</v>
      </c>
      <c r="F110" s="10"/>
      <c r="G110" s="10"/>
      <c r="H110" s="10"/>
      <c r="I110" s="10"/>
      <c r="K110" s="10"/>
      <c r="L110" s="10"/>
    </row>
    <row r="111" spans="1:12" x14ac:dyDescent="0.35">
      <c r="A111" s="10">
        <v>45.084000000000003</v>
      </c>
      <c r="B111" s="2" t="s">
        <v>9</v>
      </c>
      <c r="C111" t="s">
        <v>51</v>
      </c>
      <c r="D111" t="s">
        <v>27</v>
      </c>
      <c r="E111" t="s">
        <v>44</v>
      </c>
      <c r="F111" s="10">
        <v>-2.4400000000000002E-2</v>
      </c>
      <c r="G111" s="10">
        <v>0</v>
      </c>
      <c r="H111" s="10">
        <v>45.084400000000002</v>
      </c>
      <c r="I111" s="10">
        <v>0</v>
      </c>
      <c r="K111" s="10">
        <f t="shared" ref="K111" si="15">SQRT((F111-F109)^2+(H111-H109)^2)</f>
        <v>0.1016004429124252</v>
      </c>
      <c r="L111" s="10">
        <f t="shared" ref="L111" si="16">L109+K111</f>
        <v>45.084424944570564</v>
      </c>
    </row>
    <row r="112" spans="1:12" x14ac:dyDescent="0.35">
      <c r="A112" s="10">
        <v>46.607999999999997</v>
      </c>
      <c r="B112" s="2" t="s">
        <v>13</v>
      </c>
      <c r="C112" t="s">
        <v>51</v>
      </c>
      <c r="D112" t="s">
        <v>27</v>
      </c>
      <c r="E112" t="s">
        <v>44</v>
      </c>
      <c r="F112" s="10">
        <v>-2.9600000000000001E-2</v>
      </c>
      <c r="G112" s="10">
        <v>0</v>
      </c>
      <c r="H112" s="10">
        <v>46.608400000000003</v>
      </c>
      <c r="I112" s="10">
        <v>0</v>
      </c>
      <c r="K112" s="10"/>
      <c r="L112" s="10">
        <f t="shared" ref="L112" si="17">(L111+L113)/2</f>
        <v>46.608433815935818</v>
      </c>
    </row>
    <row r="113" spans="1:12" x14ac:dyDescent="0.35">
      <c r="A113" s="10">
        <v>48.131999999999998</v>
      </c>
      <c r="B113" s="2" t="s">
        <v>14</v>
      </c>
      <c r="C113" t="s">
        <v>51</v>
      </c>
      <c r="D113" t="s">
        <v>27</v>
      </c>
      <c r="E113" t="s">
        <v>44</v>
      </c>
      <c r="F113" s="10">
        <v>-3.4799999999999998E-2</v>
      </c>
      <c r="G113" s="10">
        <v>0</v>
      </c>
      <c r="H113" s="10">
        <v>48.132399999999997</v>
      </c>
      <c r="I113" s="10">
        <v>0</v>
      </c>
      <c r="K113" s="10">
        <f t="shared" ref="K113" si="18">SQRT((F113-F111)^2+(H113-H111)^2)</f>
        <v>3.0480177427305057</v>
      </c>
      <c r="L113" s="10">
        <f t="shared" ref="L113" si="19">L111+K113</f>
        <v>48.132442687301072</v>
      </c>
    </row>
    <row r="114" spans="1:12" x14ac:dyDescent="0.35">
      <c r="A114" s="10"/>
      <c r="B114" s="2" t="s">
        <v>15</v>
      </c>
      <c r="C114" t="s">
        <v>15</v>
      </c>
      <c r="D114" t="s">
        <v>15</v>
      </c>
      <c r="E114" t="s">
        <v>15</v>
      </c>
      <c r="F114" s="10"/>
      <c r="G114" s="10"/>
      <c r="H114" s="10"/>
      <c r="I114" s="10"/>
      <c r="K114" s="10"/>
      <c r="L114" s="10"/>
    </row>
    <row r="115" spans="1:12" x14ac:dyDescent="0.35">
      <c r="A115" s="10">
        <v>48.131999999999998</v>
      </c>
      <c r="B115" s="2" t="s">
        <v>9</v>
      </c>
      <c r="C115" t="s">
        <v>52</v>
      </c>
      <c r="D115" t="s">
        <v>11</v>
      </c>
      <c r="E115" t="s">
        <v>22</v>
      </c>
      <c r="F115" s="10">
        <v>-3.4799999999999998E-2</v>
      </c>
      <c r="G115" s="10">
        <v>0</v>
      </c>
      <c r="H115" s="10">
        <v>48.132399999999997</v>
      </c>
      <c r="I115" s="10">
        <v>0</v>
      </c>
      <c r="K115" s="10">
        <f t="shared" ref="K115" si="20">SQRT((F115-F113)^2+(H115-H113)^2)</f>
        <v>0</v>
      </c>
      <c r="L115" s="10">
        <f t="shared" ref="L115" si="21">L113+K115</f>
        <v>48.132442687301072</v>
      </c>
    </row>
    <row r="116" spans="1:12" x14ac:dyDescent="0.35">
      <c r="A116" s="10">
        <v>48.131999999999998</v>
      </c>
      <c r="B116" s="2" t="s">
        <v>13</v>
      </c>
      <c r="C116" t="s">
        <v>52</v>
      </c>
      <c r="D116" t="s">
        <v>11</v>
      </c>
      <c r="E116" t="s">
        <v>22</v>
      </c>
      <c r="F116" s="10">
        <v>-3.4799999999999998E-2</v>
      </c>
      <c r="G116" s="10">
        <v>0</v>
      </c>
      <c r="H116" s="10">
        <v>48.132399999999997</v>
      </c>
      <c r="I116" s="10">
        <v>0</v>
      </c>
      <c r="K116" s="10"/>
      <c r="L116" s="10">
        <f t="shared" ref="L116" si="22">(L115+L117)/2</f>
        <v>48.132442687301072</v>
      </c>
    </row>
    <row r="117" spans="1:12" x14ac:dyDescent="0.35">
      <c r="A117" s="10">
        <v>48.131999999999998</v>
      </c>
      <c r="B117" s="2" t="s">
        <v>14</v>
      </c>
      <c r="C117" t="s">
        <v>52</v>
      </c>
      <c r="D117" t="s">
        <v>11</v>
      </c>
      <c r="E117" t="s">
        <v>22</v>
      </c>
      <c r="F117" s="10">
        <v>-3.4799999999999998E-2</v>
      </c>
      <c r="G117" s="10">
        <v>0</v>
      </c>
      <c r="H117" s="10">
        <v>48.132399999999997</v>
      </c>
      <c r="I117" s="10">
        <v>0</v>
      </c>
      <c r="K117" s="10">
        <f t="shared" ref="K117" si="23">SQRT((F117-F115)^2+(H117-H115)^2)</f>
        <v>0</v>
      </c>
      <c r="L117" s="10">
        <f t="shared" ref="L117" si="24">L115+K117</f>
        <v>48.132442687301072</v>
      </c>
    </row>
    <row r="118" spans="1:12" x14ac:dyDescent="0.35">
      <c r="A118" s="10"/>
      <c r="B118" s="2" t="s">
        <v>15</v>
      </c>
      <c r="C118" t="s">
        <v>15</v>
      </c>
      <c r="D118" t="s">
        <v>15</v>
      </c>
      <c r="E118" t="s">
        <v>15</v>
      </c>
      <c r="F118" s="10"/>
      <c r="G118" s="10"/>
      <c r="H118" s="10"/>
      <c r="I118" s="10"/>
      <c r="K118" s="10"/>
      <c r="L118" s="10"/>
    </row>
    <row r="119" spans="1:12" x14ac:dyDescent="0.35">
      <c r="A119" s="10">
        <v>64.561999999999998</v>
      </c>
      <c r="B119" s="2" t="s">
        <v>9</v>
      </c>
      <c r="C119" t="s">
        <v>53</v>
      </c>
      <c r="D119" t="s">
        <v>11</v>
      </c>
      <c r="E119" t="s">
        <v>35</v>
      </c>
      <c r="F119" s="10">
        <v>-9.5600000000000004E-2</v>
      </c>
      <c r="G119" s="10">
        <v>0</v>
      </c>
      <c r="H119" s="10">
        <v>64.562299999999993</v>
      </c>
      <c r="I119" s="10">
        <v>0</v>
      </c>
      <c r="K119" s="10">
        <f t="shared" ref="K119" si="25">SQRT((F119-F117)^2+(H119-H117)^2)</f>
        <v>16.430012496952031</v>
      </c>
      <c r="L119" s="10">
        <f t="shared" ref="L119" si="26">L117+K119</f>
        <v>64.56245518425311</v>
      </c>
    </row>
    <row r="120" spans="1:12" x14ac:dyDescent="0.35">
      <c r="A120" s="10">
        <v>64.561999999999998</v>
      </c>
      <c r="B120" s="2" t="s">
        <v>13</v>
      </c>
      <c r="C120" t="s">
        <v>53</v>
      </c>
      <c r="D120" t="s">
        <v>11</v>
      </c>
      <c r="E120" t="s">
        <v>35</v>
      </c>
      <c r="F120" s="10">
        <v>-9.5600000000000004E-2</v>
      </c>
      <c r="G120" s="10">
        <v>0</v>
      </c>
      <c r="H120" s="10">
        <v>64.562299999999993</v>
      </c>
      <c r="I120" s="10">
        <v>0</v>
      </c>
      <c r="K120" s="10"/>
      <c r="L120" s="10">
        <f t="shared" ref="L120" si="27">(L119+L121)/2</f>
        <v>64.56245518425311</v>
      </c>
    </row>
    <row r="121" spans="1:12" x14ac:dyDescent="0.35">
      <c r="A121" s="10">
        <v>64.561999999999998</v>
      </c>
      <c r="B121" s="2" t="s">
        <v>14</v>
      </c>
      <c r="C121" t="s">
        <v>53</v>
      </c>
      <c r="D121" t="s">
        <v>11</v>
      </c>
      <c r="E121" t="s">
        <v>35</v>
      </c>
      <c r="F121" s="10">
        <v>-9.5600000000000004E-2</v>
      </c>
      <c r="G121" s="10">
        <v>0</v>
      </c>
      <c r="H121" s="10">
        <v>64.562299999999993</v>
      </c>
      <c r="I121" s="10">
        <v>0</v>
      </c>
      <c r="K121" s="10">
        <f t="shared" ref="K121" si="28">SQRT((F121-F119)^2+(H121-H119)^2)</f>
        <v>0</v>
      </c>
      <c r="L121" s="10">
        <f t="shared" ref="L121" si="29">L119+K121</f>
        <v>64.56245518425311</v>
      </c>
    </row>
    <row r="122" spans="1:12" x14ac:dyDescent="0.35">
      <c r="A122" s="10"/>
      <c r="B122" s="2" t="s">
        <v>15</v>
      </c>
      <c r="C122" t="s">
        <v>15</v>
      </c>
      <c r="D122" t="s">
        <v>15</v>
      </c>
      <c r="E122" t="s">
        <v>15</v>
      </c>
      <c r="F122" s="10"/>
      <c r="G122" s="10"/>
      <c r="H122" s="10"/>
      <c r="I122" s="10"/>
      <c r="K122" s="10"/>
      <c r="L122" s="10"/>
    </row>
    <row r="123" spans="1:12" x14ac:dyDescent="0.35">
      <c r="A123" s="10">
        <v>64.561999999999998</v>
      </c>
      <c r="B123" s="2" t="s">
        <v>9</v>
      </c>
      <c r="C123" t="s">
        <v>54</v>
      </c>
      <c r="D123" t="s">
        <v>11</v>
      </c>
      <c r="E123" t="s">
        <v>19</v>
      </c>
      <c r="F123" s="10">
        <v>-9.5600000000000004E-2</v>
      </c>
      <c r="G123" s="10">
        <v>0</v>
      </c>
      <c r="H123" s="10">
        <v>64.562299999999993</v>
      </c>
      <c r="I123" s="10">
        <v>0</v>
      </c>
      <c r="K123" s="10">
        <f t="shared" ref="K123" si="30">SQRT((F123-F121)^2+(H123-H121)^2)</f>
        <v>0</v>
      </c>
      <c r="L123" s="10">
        <f t="shared" ref="L123" si="31">L121+K123</f>
        <v>64.56245518425311</v>
      </c>
    </row>
    <row r="124" spans="1:12" x14ac:dyDescent="0.35">
      <c r="A124" s="10">
        <v>64.561999999999998</v>
      </c>
      <c r="B124" s="2" t="s">
        <v>13</v>
      </c>
      <c r="C124" t="s">
        <v>54</v>
      </c>
      <c r="D124" t="s">
        <v>11</v>
      </c>
      <c r="E124" t="s">
        <v>19</v>
      </c>
      <c r="F124" s="10">
        <v>-9.5600000000000004E-2</v>
      </c>
      <c r="G124" s="10">
        <v>0</v>
      </c>
      <c r="H124" s="10">
        <v>64.562299999999993</v>
      </c>
      <c r="I124" s="10">
        <v>0</v>
      </c>
      <c r="K124" s="10"/>
      <c r="L124" s="10">
        <f t="shared" ref="L124" si="32">(L123+L125)/2</f>
        <v>64.56245518425311</v>
      </c>
    </row>
    <row r="125" spans="1:12" x14ac:dyDescent="0.35">
      <c r="A125" s="10">
        <v>64.561999999999998</v>
      </c>
      <c r="B125" s="2" t="s">
        <v>14</v>
      </c>
      <c r="C125" t="s">
        <v>54</v>
      </c>
      <c r="D125" t="s">
        <v>11</v>
      </c>
      <c r="E125" t="s">
        <v>19</v>
      </c>
      <c r="F125" s="10">
        <v>-9.5600000000000004E-2</v>
      </c>
      <c r="G125" s="10">
        <v>0</v>
      </c>
      <c r="H125" s="10">
        <v>64.562299999999993</v>
      </c>
      <c r="I125" s="10">
        <v>0</v>
      </c>
      <c r="K125" s="10">
        <f t="shared" ref="K125" si="33">SQRT((F125-F123)^2+(H125-H123)^2)</f>
        <v>0</v>
      </c>
      <c r="L125" s="10">
        <f t="shared" ref="L125" si="34">L123+K125</f>
        <v>64.56245518425311</v>
      </c>
    </row>
    <row r="126" spans="1:12" x14ac:dyDescent="0.35">
      <c r="A126" s="10"/>
      <c r="B126" s="2" t="s">
        <v>15</v>
      </c>
      <c r="C126" t="s">
        <v>15</v>
      </c>
      <c r="D126" t="s">
        <v>15</v>
      </c>
      <c r="E126" t="s">
        <v>15</v>
      </c>
      <c r="F126" s="10"/>
      <c r="G126" s="10"/>
      <c r="H126" s="10"/>
      <c r="I126" s="10"/>
      <c r="K126" s="10"/>
      <c r="L126" s="10"/>
    </row>
    <row r="127" spans="1:12" x14ac:dyDescent="0.35">
      <c r="A127" s="10">
        <v>89.378</v>
      </c>
      <c r="B127" s="2" t="s">
        <v>9</v>
      </c>
      <c r="C127" t="s">
        <v>55</v>
      </c>
      <c r="D127" t="s">
        <v>11</v>
      </c>
      <c r="E127" t="s">
        <v>56</v>
      </c>
      <c r="F127" s="10">
        <v>-0.18740000000000001</v>
      </c>
      <c r="G127" s="10">
        <v>0</v>
      </c>
      <c r="H127" s="10">
        <v>89.378100000000003</v>
      </c>
      <c r="I127" s="10">
        <v>0</v>
      </c>
      <c r="K127" s="10">
        <f t="shared" ref="K127" si="35">SQRT((F127-F125)^2+(H127-H125)^2)</f>
        <v>24.815969795274988</v>
      </c>
      <c r="L127" s="10">
        <f t="shared" ref="L127" si="36">L125+K127</f>
        <v>89.378424979528091</v>
      </c>
    </row>
    <row r="128" spans="1:12" x14ac:dyDescent="0.35">
      <c r="A128" s="10">
        <v>89.378</v>
      </c>
      <c r="B128" s="2" t="s">
        <v>13</v>
      </c>
      <c r="C128" t="s">
        <v>55</v>
      </c>
      <c r="D128" t="s">
        <v>11</v>
      </c>
      <c r="E128" t="s">
        <v>56</v>
      </c>
      <c r="F128" s="10">
        <v>-0.18740000000000001</v>
      </c>
      <c r="G128" s="10">
        <v>0</v>
      </c>
      <c r="H128" s="10">
        <v>89.378100000000003</v>
      </c>
      <c r="I128" s="10">
        <v>0</v>
      </c>
      <c r="K128" s="10"/>
      <c r="L128" s="10">
        <f t="shared" ref="L128" si="37">(L127+L129)/2</f>
        <v>89.378424979528091</v>
      </c>
    </row>
    <row r="129" spans="1:12" x14ac:dyDescent="0.35">
      <c r="A129" s="10">
        <v>89.378</v>
      </c>
      <c r="B129" s="2" t="s">
        <v>14</v>
      </c>
      <c r="C129" t="s">
        <v>55</v>
      </c>
      <c r="D129" t="s">
        <v>11</v>
      </c>
      <c r="E129" t="s">
        <v>56</v>
      </c>
      <c r="F129" s="10">
        <v>-0.18740000000000001</v>
      </c>
      <c r="G129" s="10">
        <v>0</v>
      </c>
      <c r="H129" s="10">
        <v>89.378100000000003</v>
      </c>
      <c r="I129" s="10">
        <v>0</v>
      </c>
      <c r="K129" s="10">
        <f t="shared" ref="K129" si="38">SQRT((F129-F127)^2+(H129-H127)^2)</f>
        <v>0</v>
      </c>
      <c r="L129" s="10">
        <f t="shared" ref="L129" si="39">L127+K129</f>
        <v>89.378424979528091</v>
      </c>
    </row>
    <row r="130" spans="1:12" x14ac:dyDescent="0.35">
      <c r="A130" s="10"/>
      <c r="B130" s="2" t="s">
        <v>15</v>
      </c>
      <c r="C130" t="s">
        <v>15</v>
      </c>
      <c r="D130" t="s">
        <v>15</v>
      </c>
      <c r="E130" t="s">
        <v>15</v>
      </c>
      <c r="F130" s="10"/>
      <c r="G130" s="10"/>
      <c r="H130" s="10"/>
      <c r="I130" s="10"/>
      <c r="K130" s="10"/>
      <c r="L130" s="10"/>
    </row>
    <row r="131" spans="1:12" x14ac:dyDescent="0.35">
      <c r="A131" s="10">
        <v>89.593999999999994</v>
      </c>
      <c r="B131" s="2" t="s">
        <v>9</v>
      </c>
      <c r="C131" t="s">
        <v>57</v>
      </c>
      <c r="D131" t="s">
        <v>11</v>
      </c>
      <c r="E131" t="s">
        <v>58</v>
      </c>
      <c r="F131" s="10">
        <v>-0.18820000000000001</v>
      </c>
      <c r="G131" s="10">
        <v>0</v>
      </c>
      <c r="H131" s="10">
        <v>89.593999999999994</v>
      </c>
      <c r="I131" s="10">
        <v>0</v>
      </c>
      <c r="K131" s="10">
        <f t="shared" ref="K131" si="40">SQRT((F131-F129)^2+(H131-H129)^2)</f>
        <v>0.21590148216257332</v>
      </c>
      <c r="L131" s="10">
        <f t="shared" ref="L131" si="41">L129+K131</f>
        <v>89.59432646169067</v>
      </c>
    </row>
    <row r="132" spans="1:12" x14ac:dyDescent="0.35">
      <c r="A132" s="10">
        <v>89.593999999999994</v>
      </c>
      <c r="B132" s="2" t="s">
        <v>13</v>
      </c>
      <c r="C132" t="s">
        <v>57</v>
      </c>
      <c r="D132" t="s">
        <v>11</v>
      </c>
      <c r="E132" t="s">
        <v>58</v>
      </c>
      <c r="F132" s="10">
        <v>-0.18820000000000001</v>
      </c>
      <c r="G132" s="10">
        <v>0</v>
      </c>
      <c r="H132" s="10">
        <v>89.593999999999994</v>
      </c>
      <c r="I132" s="10">
        <v>0</v>
      </c>
      <c r="K132" s="10"/>
      <c r="L132" s="10">
        <f t="shared" ref="L132" si="42">(L131+L133)/2</f>
        <v>89.59432646169067</v>
      </c>
    </row>
    <row r="133" spans="1:12" x14ac:dyDescent="0.35">
      <c r="A133" s="10">
        <v>89.593999999999994</v>
      </c>
      <c r="B133" s="2" t="s">
        <v>14</v>
      </c>
      <c r="C133" t="s">
        <v>57</v>
      </c>
      <c r="D133" t="s">
        <v>11</v>
      </c>
      <c r="E133" t="s">
        <v>58</v>
      </c>
      <c r="F133" s="10">
        <v>-0.18820000000000001</v>
      </c>
      <c r="G133" s="10">
        <v>0</v>
      </c>
      <c r="H133" s="10">
        <v>89.593999999999994</v>
      </c>
      <c r="I133" s="10">
        <v>0</v>
      </c>
      <c r="K133" s="10">
        <f t="shared" ref="K133" si="43">SQRT((F133-F131)^2+(H133-H131)^2)</f>
        <v>0</v>
      </c>
      <c r="L133" s="10">
        <f t="shared" ref="L133" si="44">L131+K133</f>
        <v>89.59432646169067</v>
      </c>
    </row>
    <row r="134" spans="1:12" x14ac:dyDescent="0.35">
      <c r="A134" s="10"/>
      <c r="B134" s="2" t="s">
        <v>15</v>
      </c>
      <c r="C134" t="s">
        <v>15</v>
      </c>
      <c r="D134" t="s">
        <v>15</v>
      </c>
      <c r="E134" t="s">
        <v>15</v>
      </c>
      <c r="F134" s="10"/>
      <c r="G134" s="10"/>
      <c r="H134" s="10"/>
      <c r="I134" s="10"/>
      <c r="K134" s="10"/>
      <c r="L134" s="10"/>
    </row>
    <row r="135" spans="1:12" x14ac:dyDescent="0.35">
      <c r="A135" s="10">
        <v>89.81</v>
      </c>
      <c r="B135" s="2" t="s">
        <v>9</v>
      </c>
      <c r="C135" t="s">
        <v>55</v>
      </c>
      <c r="D135" t="s">
        <v>11</v>
      </c>
      <c r="E135" t="s">
        <v>56</v>
      </c>
      <c r="F135" s="10">
        <v>-0.189</v>
      </c>
      <c r="G135" s="10">
        <v>0</v>
      </c>
      <c r="H135" s="10">
        <v>89.809899999999999</v>
      </c>
      <c r="I135" s="10">
        <v>0</v>
      </c>
      <c r="K135" s="10">
        <f t="shared" ref="K135" si="45">SQRT((F135-F133)^2+(H135-H133)^2)</f>
        <v>0.21590148216258753</v>
      </c>
      <c r="L135" s="10">
        <f t="shared" ref="L135" si="46">L133+K135</f>
        <v>89.810227943853263</v>
      </c>
    </row>
    <row r="136" spans="1:12" x14ac:dyDescent="0.35">
      <c r="A136" s="10">
        <v>89.81</v>
      </c>
      <c r="B136" s="2" t="s">
        <v>13</v>
      </c>
      <c r="C136" t="s">
        <v>55</v>
      </c>
      <c r="D136" t="s">
        <v>11</v>
      </c>
      <c r="E136" t="s">
        <v>56</v>
      </c>
      <c r="F136" s="10">
        <v>-0.189</v>
      </c>
      <c r="G136" s="10">
        <v>0</v>
      </c>
      <c r="H136" s="10">
        <v>89.809899999999999</v>
      </c>
      <c r="I136" s="10">
        <v>0</v>
      </c>
      <c r="K136" s="10"/>
      <c r="L136" s="10">
        <f t="shared" ref="L136" si="47">(L135+L137)/2</f>
        <v>89.810227943853263</v>
      </c>
    </row>
    <row r="137" spans="1:12" x14ac:dyDescent="0.35">
      <c r="A137" s="10">
        <v>89.81</v>
      </c>
      <c r="B137" s="2" t="s">
        <v>14</v>
      </c>
      <c r="C137" t="s">
        <v>55</v>
      </c>
      <c r="D137" t="s">
        <v>11</v>
      </c>
      <c r="E137" t="s">
        <v>56</v>
      </c>
      <c r="F137" s="10">
        <v>-0.189</v>
      </c>
      <c r="G137" s="10">
        <v>0</v>
      </c>
      <c r="H137" s="10">
        <v>89.809899999999999</v>
      </c>
      <c r="I137" s="10">
        <v>0</v>
      </c>
      <c r="K137" s="10">
        <f t="shared" ref="K137" si="48">SQRT((F137-F135)^2+(H137-H135)^2)</f>
        <v>0</v>
      </c>
      <c r="L137" s="10">
        <f t="shared" ref="L137" si="49">L135+K137</f>
        <v>89.810227943853263</v>
      </c>
    </row>
    <row r="138" spans="1:12" x14ac:dyDescent="0.35">
      <c r="A138" s="10"/>
      <c r="B138" s="2" t="s">
        <v>15</v>
      </c>
      <c r="C138" t="s">
        <v>15</v>
      </c>
      <c r="D138" t="s">
        <v>15</v>
      </c>
      <c r="E138" t="s">
        <v>15</v>
      </c>
      <c r="F138" s="10"/>
      <c r="G138" s="10"/>
      <c r="H138" s="10"/>
      <c r="I138" s="10"/>
      <c r="K138" s="10"/>
      <c r="L138" s="10"/>
    </row>
    <row r="139" spans="1:12" x14ac:dyDescent="0.35">
      <c r="A139" s="10">
        <v>91.334000000000003</v>
      </c>
      <c r="B139" s="2" t="s">
        <v>9</v>
      </c>
      <c r="C139" t="s">
        <v>59</v>
      </c>
      <c r="D139" t="s">
        <v>11</v>
      </c>
      <c r="E139" t="s">
        <v>24</v>
      </c>
      <c r="F139" s="10">
        <v>-0.1946</v>
      </c>
      <c r="G139" s="10">
        <v>0</v>
      </c>
      <c r="H139" s="10">
        <v>91.3339</v>
      </c>
      <c r="I139" s="10">
        <v>0</v>
      </c>
      <c r="K139" s="10">
        <f t="shared" ref="K139" si="50">SQRT((F139-F137)^2+(H139-H137)^2)</f>
        <v>1.5240102886791818</v>
      </c>
      <c r="L139" s="10">
        <f t="shared" ref="L139" si="51">L137+K139</f>
        <v>91.334238232532442</v>
      </c>
    </row>
    <row r="140" spans="1:12" x14ac:dyDescent="0.35">
      <c r="A140" s="10">
        <v>91.334000000000003</v>
      </c>
      <c r="B140" s="2" t="s">
        <v>13</v>
      </c>
      <c r="C140" t="s">
        <v>59</v>
      </c>
      <c r="D140" t="s">
        <v>11</v>
      </c>
      <c r="E140" t="s">
        <v>24</v>
      </c>
      <c r="F140" s="10">
        <v>-0.1946</v>
      </c>
      <c r="G140" s="10">
        <v>0</v>
      </c>
      <c r="H140" s="10">
        <v>91.3339</v>
      </c>
      <c r="I140" s="10">
        <v>0</v>
      </c>
      <c r="K140" s="10"/>
      <c r="L140" s="10">
        <f t="shared" ref="L140" si="52">(L139+L141)/2</f>
        <v>91.334238232532442</v>
      </c>
    </row>
    <row r="141" spans="1:12" x14ac:dyDescent="0.35">
      <c r="A141" s="10">
        <v>91.334000000000003</v>
      </c>
      <c r="B141" s="2" t="s">
        <v>14</v>
      </c>
      <c r="C141" t="s">
        <v>59</v>
      </c>
      <c r="D141" t="s">
        <v>11</v>
      </c>
      <c r="E141" t="s">
        <v>24</v>
      </c>
      <c r="F141" s="10">
        <v>-0.1946</v>
      </c>
      <c r="G141" s="10">
        <v>0</v>
      </c>
      <c r="H141" s="10">
        <v>91.3339</v>
      </c>
      <c r="I141" s="10">
        <v>0</v>
      </c>
      <c r="K141" s="10">
        <f t="shared" ref="K141" si="53">SQRT((F141-F139)^2+(H141-H139)^2)</f>
        <v>0</v>
      </c>
      <c r="L141" s="10">
        <f t="shared" ref="L141" si="54">L139+K141</f>
        <v>91.334238232532442</v>
      </c>
    </row>
    <row r="142" spans="1:12" x14ac:dyDescent="0.35">
      <c r="A142" s="10"/>
      <c r="B142" s="2" t="s">
        <v>15</v>
      </c>
      <c r="C142" t="s">
        <v>15</v>
      </c>
      <c r="D142" t="s">
        <v>15</v>
      </c>
      <c r="E142" t="s">
        <v>15</v>
      </c>
      <c r="F142" s="10"/>
      <c r="G142" s="10"/>
      <c r="H142" s="10"/>
      <c r="I142" s="10"/>
      <c r="K142" s="10"/>
      <c r="L142" s="10"/>
    </row>
    <row r="143" spans="1:12" x14ac:dyDescent="0.35">
      <c r="A143" s="10">
        <v>91.334000000000003</v>
      </c>
      <c r="B143" s="2" t="s">
        <v>9</v>
      </c>
      <c r="C143" t="s">
        <v>60</v>
      </c>
      <c r="D143" t="s">
        <v>11</v>
      </c>
      <c r="E143" t="s">
        <v>22</v>
      </c>
      <c r="F143" s="10">
        <v>-0.1946</v>
      </c>
      <c r="G143" s="10">
        <v>0</v>
      </c>
      <c r="H143" s="10">
        <v>91.3339</v>
      </c>
      <c r="I143" s="10">
        <v>0</v>
      </c>
      <c r="K143" s="10">
        <f t="shared" ref="K143" si="55">SQRT((F143-F141)^2+(H143-H141)^2)</f>
        <v>0</v>
      </c>
      <c r="L143" s="10">
        <f t="shared" ref="L143" si="56">L141+K143</f>
        <v>91.334238232532442</v>
      </c>
    </row>
    <row r="144" spans="1:12" x14ac:dyDescent="0.35">
      <c r="A144" s="10">
        <v>91.334000000000003</v>
      </c>
      <c r="B144" s="2" t="s">
        <v>13</v>
      </c>
      <c r="C144" t="s">
        <v>60</v>
      </c>
      <c r="D144" t="s">
        <v>11</v>
      </c>
      <c r="E144" t="s">
        <v>22</v>
      </c>
      <c r="F144" s="10">
        <v>-0.1946</v>
      </c>
      <c r="G144" s="10">
        <v>0</v>
      </c>
      <c r="H144" s="10">
        <v>91.3339</v>
      </c>
      <c r="I144" s="10">
        <v>0</v>
      </c>
      <c r="K144" s="10"/>
      <c r="L144" s="10">
        <f t="shared" ref="L144" si="57">(L143+L145)/2</f>
        <v>91.334238232532442</v>
      </c>
    </row>
    <row r="145" spans="1:12" x14ac:dyDescent="0.35">
      <c r="A145" s="10">
        <v>91.334000000000003</v>
      </c>
      <c r="B145" s="2" t="s">
        <v>14</v>
      </c>
      <c r="C145" t="s">
        <v>60</v>
      </c>
      <c r="D145" t="s">
        <v>11</v>
      </c>
      <c r="E145" t="s">
        <v>22</v>
      </c>
      <c r="F145" s="10">
        <v>-0.1946</v>
      </c>
      <c r="G145" s="10">
        <v>0</v>
      </c>
      <c r="H145" s="10">
        <v>91.3339</v>
      </c>
      <c r="I145" s="10">
        <v>0</v>
      </c>
      <c r="K145" s="10">
        <f t="shared" ref="K145" si="58">SQRT((F145-F143)^2+(H145-H143)^2)</f>
        <v>0</v>
      </c>
      <c r="L145" s="10">
        <f t="shared" ref="L145" si="59">L143+K145</f>
        <v>91.334238232532442</v>
      </c>
    </row>
    <row r="146" spans="1:12" x14ac:dyDescent="0.35">
      <c r="A146" s="10"/>
      <c r="B146" s="2" t="s">
        <v>15</v>
      </c>
      <c r="C146" t="s">
        <v>15</v>
      </c>
      <c r="D146" t="s">
        <v>15</v>
      </c>
      <c r="E146" t="s">
        <v>15</v>
      </c>
      <c r="F146" s="10"/>
      <c r="G146" s="10"/>
      <c r="H146" s="10"/>
      <c r="I146" s="10"/>
      <c r="K146" s="10"/>
      <c r="L146" s="10"/>
    </row>
    <row r="147" spans="1:12" x14ac:dyDescent="0.35">
      <c r="A147" s="10">
        <v>91.664000000000001</v>
      </c>
      <c r="B147" s="2" t="s">
        <v>9</v>
      </c>
      <c r="C147" t="s">
        <v>55</v>
      </c>
      <c r="D147" t="s">
        <v>11</v>
      </c>
      <c r="E147" t="s">
        <v>56</v>
      </c>
      <c r="F147" s="10">
        <v>-0.1958</v>
      </c>
      <c r="G147" s="10">
        <v>0</v>
      </c>
      <c r="H147" s="10">
        <v>91.664100000000005</v>
      </c>
      <c r="I147" s="10">
        <v>0</v>
      </c>
      <c r="K147" s="10">
        <f t="shared" ref="K147" si="60">SQRT((F147-F145)^2+(H147-H145)^2)</f>
        <v>0.33020218048947414</v>
      </c>
      <c r="L147" s="10">
        <f t="shared" ref="L147" si="61">L145+K147</f>
        <v>91.664440413021921</v>
      </c>
    </row>
    <row r="148" spans="1:12" x14ac:dyDescent="0.35">
      <c r="A148" s="10">
        <v>91.664000000000001</v>
      </c>
      <c r="B148" s="2" t="s">
        <v>13</v>
      </c>
      <c r="C148" t="s">
        <v>55</v>
      </c>
      <c r="D148" t="s">
        <v>11</v>
      </c>
      <c r="E148" t="s">
        <v>56</v>
      </c>
      <c r="F148" s="10">
        <v>-0.1958</v>
      </c>
      <c r="G148" s="10">
        <v>0</v>
      </c>
      <c r="H148" s="10">
        <v>91.664100000000005</v>
      </c>
      <c r="I148" s="10">
        <v>0</v>
      </c>
      <c r="K148" s="10"/>
      <c r="L148" s="10">
        <f t="shared" ref="L148" si="62">(L147+L149)/2</f>
        <v>91.664440413021921</v>
      </c>
    </row>
    <row r="149" spans="1:12" x14ac:dyDescent="0.35">
      <c r="A149" s="10">
        <v>91.664000000000001</v>
      </c>
      <c r="B149" s="2" t="s">
        <v>14</v>
      </c>
      <c r="C149" t="s">
        <v>55</v>
      </c>
      <c r="D149" t="s">
        <v>11</v>
      </c>
      <c r="E149" t="s">
        <v>56</v>
      </c>
      <c r="F149" s="10">
        <v>-0.1958</v>
      </c>
      <c r="G149" s="10">
        <v>0</v>
      </c>
      <c r="H149" s="10">
        <v>91.664100000000005</v>
      </c>
      <c r="I149" s="10">
        <v>0</v>
      </c>
      <c r="K149" s="10">
        <f t="shared" ref="K149" si="63">SQRT((F149-F147)^2+(H149-H147)^2)</f>
        <v>0</v>
      </c>
      <c r="L149" s="10">
        <f t="shared" ref="L149" si="64">L147+K149</f>
        <v>91.664440413021921</v>
      </c>
    </row>
    <row r="150" spans="1:12" x14ac:dyDescent="0.35">
      <c r="A150" s="10"/>
      <c r="B150" s="2" t="s">
        <v>15</v>
      </c>
      <c r="C150" t="s">
        <v>15</v>
      </c>
      <c r="D150" t="s">
        <v>15</v>
      </c>
      <c r="E150" t="s">
        <v>15</v>
      </c>
      <c r="F150" s="10"/>
      <c r="G150" s="10"/>
      <c r="H150" s="10"/>
      <c r="I150" s="10"/>
      <c r="K150" s="10"/>
      <c r="L150" s="10"/>
    </row>
    <row r="151" spans="1:12" x14ac:dyDescent="0.35">
      <c r="A151" s="10">
        <v>91.69</v>
      </c>
      <c r="B151" s="2" t="s">
        <v>9</v>
      </c>
      <c r="C151" t="s">
        <v>61</v>
      </c>
      <c r="D151" t="s">
        <v>43</v>
      </c>
      <c r="E151" t="s">
        <v>62</v>
      </c>
      <c r="F151" s="10">
        <v>-0.19589999999999999</v>
      </c>
      <c r="G151" s="10">
        <v>0</v>
      </c>
      <c r="H151" s="10">
        <v>91.689499999999995</v>
      </c>
      <c r="I151" s="10">
        <v>0</v>
      </c>
      <c r="K151" s="10">
        <f t="shared" ref="K151" si="65">SQRT((F151-F149)^2+(H151-H149)^2)</f>
        <v>2.5400196849621453E-2</v>
      </c>
      <c r="L151" s="10">
        <f t="shared" ref="L151" si="66">L149+K151</f>
        <v>91.689840609871538</v>
      </c>
    </row>
    <row r="152" spans="1:12" x14ac:dyDescent="0.35">
      <c r="A152" s="10">
        <v>91.816999999999993</v>
      </c>
      <c r="B152" s="2" t="s">
        <v>13</v>
      </c>
      <c r="C152" t="s">
        <v>61</v>
      </c>
      <c r="D152" t="s">
        <v>43</v>
      </c>
      <c r="E152" t="s">
        <v>62</v>
      </c>
      <c r="F152" s="10">
        <v>-0.19639999999999999</v>
      </c>
      <c r="G152" s="10">
        <v>0</v>
      </c>
      <c r="H152" s="10">
        <v>91.816450000000003</v>
      </c>
      <c r="I152" s="10">
        <v>0</v>
      </c>
      <c r="K152" s="10"/>
      <c r="L152" s="10">
        <f t="shared" ref="L152" si="67">(L151+L153)/2</f>
        <v>91.81679159450735</v>
      </c>
    </row>
    <row r="153" spans="1:12" x14ac:dyDescent="0.35">
      <c r="A153" s="10">
        <v>91.944000000000003</v>
      </c>
      <c r="B153" s="2" t="s">
        <v>14</v>
      </c>
      <c r="C153" t="s">
        <v>61</v>
      </c>
      <c r="D153" t="s">
        <v>43</v>
      </c>
      <c r="E153" t="s">
        <v>62</v>
      </c>
      <c r="F153" s="10">
        <v>-0.19689999999999999</v>
      </c>
      <c r="G153" s="10">
        <v>0</v>
      </c>
      <c r="H153" s="10">
        <v>91.943399999999997</v>
      </c>
      <c r="I153" s="10">
        <v>0</v>
      </c>
      <c r="K153" s="10">
        <f t="shared" ref="K153" si="68">SQRT((F153-F151)^2+(H153-H151)^2)</f>
        <v>0.25390196927160846</v>
      </c>
      <c r="L153" s="10">
        <f t="shared" ref="L153" si="69">L151+K153</f>
        <v>91.943742579143148</v>
      </c>
    </row>
    <row r="154" spans="1:12" x14ac:dyDescent="0.35">
      <c r="A154" s="10"/>
      <c r="B154" s="2" t="s">
        <v>15</v>
      </c>
      <c r="C154" t="s">
        <v>15</v>
      </c>
      <c r="D154" t="s">
        <v>15</v>
      </c>
      <c r="E154" t="s">
        <v>15</v>
      </c>
      <c r="F154" s="10"/>
      <c r="G154" s="10"/>
      <c r="H154" s="10"/>
      <c r="I154" s="10"/>
      <c r="K154" s="10"/>
      <c r="L154" s="10"/>
    </row>
    <row r="155" spans="1:12" x14ac:dyDescent="0.35">
      <c r="A155" s="10">
        <v>91.968999999999994</v>
      </c>
      <c r="B155" s="2" t="s">
        <v>9</v>
      </c>
      <c r="C155" t="s">
        <v>55</v>
      </c>
      <c r="D155" t="s">
        <v>11</v>
      </c>
      <c r="E155" t="s">
        <v>56</v>
      </c>
      <c r="F155" s="10">
        <v>-0.19700000000000001</v>
      </c>
      <c r="G155" s="10">
        <v>0</v>
      </c>
      <c r="H155" s="10">
        <v>91.968800000000002</v>
      </c>
      <c r="I155" s="10">
        <v>0</v>
      </c>
      <c r="K155" s="10">
        <f t="shared" ref="K155" si="70">SQRT((F155-F153)^2+(H155-H153)^2)</f>
        <v>2.5400196849635664E-2</v>
      </c>
      <c r="L155" s="10">
        <f t="shared" ref="L155" si="71">L153+K155</f>
        <v>91.969142775992779</v>
      </c>
    </row>
    <row r="156" spans="1:12" x14ac:dyDescent="0.35">
      <c r="A156" s="10">
        <v>91.968999999999994</v>
      </c>
      <c r="B156" s="2" t="s">
        <v>13</v>
      </c>
      <c r="C156" t="s">
        <v>55</v>
      </c>
      <c r="D156" t="s">
        <v>11</v>
      </c>
      <c r="E156" t="s">
        <v>56</v>
      </c>
      <c r="F156" s="10">
        <v>-0.19700000000000001</v>
      </c>
      <c r="G156" s="10">
        <v>0</v>
      </c>
      <c r="H156" s="10">
        <v>91.968800000000002</v>
      </c>
      <c r="I156" s="10">
        <v>0</v>
      </c>
      <c r="K156" s="10"/>
      <c r="L156" s="10">
        <f t="shared" ref="L156" si="72">(L155+L157)/2</f>
        <v>91.969142775992779</v>
      </c>
    </row>
    <row r="157" spans="1:12" x14ac:dyDescent="0.35">
      <c r="A157" s="10">
        <v>91.968999999999994</v>
      </c>
      <c r="B157" s="2" t="s">
        <v>14</v>
      </c>
      <c r="C157" t="s">
        <v>55</v>
      </c>
      <c r="D157" t="s">
        <v>11</v>
      </c>
      <c r="E157" t="s">
        <v>56</v>
      </c>
      <c r="F157" s="10">
        <v>-0.19700000000000001</v>
      </c>
      <c r="G157" s="10">
        <v>0</v>
      </c>
      <c r="H157" s="10">
        <v>91.968800000000002</v>
      </c>
      <c r="I157" s="10">
        <v>0</v>
      </c>
      <c r="K157" s="10">
        <f t="shared" ref="K157" si="73">SQRT((F157-F155)^2+(H157-H155)^2)</f>
        <v>0</v>
      </c>
      <c r="L157" s="10">
        <f t="shared" ref="L157" si="74">L155+K157</f>
        <v>91.969142775992779</v>
      </c>
    </row>
    <row r="158" spans="1:12" x14ac:dyDescent="0.35">
      <c r="A158" s="10"/>
      <c r="B158" s="2" t="s">
        <v>15</v>
      </c>
      <c r="C158" t="s">
        <v>15</v>
      </c>
      <c r="D158" t="s">
        <v>15</v>
      </c>
      <c r="E158" t="s">
        <v>15</v>
      </c>
      <c r="F158" s="10"/>
      <c r="G158" s="10"/>
      <c r="H158" s="10"/>
      <c r="I158" s="10"/>
      <c r="K158" s="10"/>
      <c r="L158" s="10"/>
    </row>
    <row r="159" spans="1:12" x14ac:dyDescent="0.35">
      <c r="A159" s="10">
        <v>114.529</v>
      </c>
      <c r="B159" s="2" t="s">
        <v>9</v>
      </c>
      <c r="C159" t="s">
        <v>63</v>
      </c>
      <c r="D159" t="s">
        <v>11</v>
      </c>
      <c r="E159" t="s">
        <v>12</v>
      </c>
      <c r="F159" s="10">
        <v>-0.28039999999999998</v>
      </c>
      <c r="G159" s="10">
        <v>0</v>
      </c>
      <c r="H159" s="10">
        <v>114.5286</v>
      </c>
      <c r="I159" s="10">
        <v>0</v>
      </c>
      <c r="K159" s="10">
        <f t="shared" ref="K159" si="75">SQRT((F159-F157)^2+(H159-H157)^2)</f>
        <v>22.559954157754838</v>
      </c>
      <c r="L159" s="10">
        <f t="shared" ref="L159" si="76">L157+K159</f>
        <v>114.52909693374761</v>
      </c>
    </row>
    <row r="160" spans="1:12" x14ac:dyDescent="0.35">
      <c r="A160" s="10">
        <v>114.529</v>
      </c>
      <c r="B160" s="2" t="s">
        <v>13</v>
      </c>
      <c r="C160" t="s">
        <v>63</v>
      </c>
      <c r="D160" t="s">
        <v>11</v>
      </c>
      <c r="E160" t="s">
        <v>12</v>
      </c>
      <c r="F160" s="10">
        <v>-0.28039999999999998</v>
      </c>
      <c r="G160" s="10">
        <v>0</v>
      </c>
      <c r="H160" s="10">
        <v>114.5286</v>
      </c>
      <c r="I160" s="10">
        <v>0</v>
      </c>
      <c r="K160" s="10"/>
      <c r="L160" s="10">
        <f t="shared" ref="L160" si="77">(L159+L161)/2</f>
        <v>114.52909693374761</v>
      </c>
    </row>
    <row r="161" spans="1:12" x14ac:dyDescent="0.35">
      <c r="A161" s="10">
        <v>114.529</v>
      </c>
      <c r="B161" s="2" t="s">
        <v>14</v>
      </c>
      <c r="C161" t="s">
        <v>63</v>
      </c>
      <c r="D161" t="s">
        <v>11</v>
      </c>
      <c r="E161" t="s">
        <v>12</v>
      </c>
      <c r="F161" s="10">
        <v>-0.28039999999999998</v>
      </c>
      <c r="G161" s="10">
        <v>0</v>
      </c>
      <c r="H161" s="10">
        <v>114.5286</v>
      </c>
      <c r="I161" s="10">
        <v>0</v>
      </c>
      <c r="K161" s="10">
        <f t="shared" ref="K161" si="78">SQRT((F161-F159)^2+(H161-H159)^2)</f>
        <v>0</v>
      </c>
      <c r="L161" s="10">
        <f t="shared" ref="L161" si="79">L159+K161</f>
        <v>114.52909693374761</v>
      </c>
    </row>
    <row r="162" spans="1:12" x14ac:dyDescent="0.35">
      <c r="A162" s="10"/>
      <c r="B162" s="2" t="s">
        <v>15</v>
      </c>
      <c r="C162" t="s">
        <v>15</v>
      </c>
      <c r="D162" t="s">
        <v>15</v>
      </c>
      <c r="E162" t="s">
        <v>15</v>
      </c>
      <c r="F162" s="10"/>
      <c r="G162" s="10"/>
      <c r="H162" s="10"/>
      <c r="I162" s="10"/>
      <c r="K162" s="10"/>
      <c r="L162" s="10"/>
    </row>
    <row r="163" spans="1:12" x14ac:dyDescent="0.35">
      <c r="A163" s="10">
        <v>118.729</v>
      </c>
      <c r="B163" s="2" t="s">
        <v>9</v>
      </c>
      <c r="C163" t="s">
        <v>64</v>
      </c>
      <c r="D163" t="s">
        <v>11</v>
      </c>
      <c r="E163" t="s">
        <v>19</v>
      </c>
      <c r="F163" s="10">
        <v>-0.29599999999999999</v>
      </c>
      <c r="G163" s="10">
        <v>0</v>
      </c>
      <c r="H163" s="10">
        <v>118.7285</v>
      </c>
      <c r="I163" s="10">
        <v>0</v>
      </c>
      <c r="K163" s="10">
        <f t="shared" ref="K163" si="80">SQRT((F163-F161)^2+(H163-H161)^2)</f>
        <v>4.1999289720184549</v>
      </c>
      <c r="L163" s="10">
        <f t="shared" ref="L163" si="81">L161+K163</f>
        <v>118.72902590576606</v>
      </c>
    </row>
    <row r="164" spans="1:12" x14ac:dyDescent="0.35">
      <c r="A164" s="10">
        <v>118.729</v>
      </c>
      <c r="B164" s="2" t="s">
        <v>13</v>
      </c>
      <c r="C164" t="s">
        <v>64</v>
      </c>
      <c r="D164" t="s">
        <v>11</v>
      </c>
      <c r="E164" t="s">
        <v>19</v>
      </c>
      <c r="F164" s="10">
        <v>-0.29599999999999999</v>
      </c>
      <c r="G164" s="10">
        <v>0</v>
      </c>
      <c r="H164" s="10">
        <v>118.7285</v>
      </c>
      <c r="I164" s="10">
        <v>0</v>
      </c>
      <c r="K164" s="10"/>
      <c r="L164" s="10">
        <f t="shared" ref="L164" si="82">(L163+L165)/2</f>
        <v>118.72902590576606</v>
      </c>
    </row>
    <row r="165" spans="1:12" x14ac:dyDescent="0.35">
      <c r="A165" s="10">
        <v>118.729</v>
      </c>
      <c r="B165" s="2" t="s">
        <v>14</v>
      </c>
      <c r="C165" t="s">
        <v>64</v>
      </c>
      <c r="D165" t="s">
        <v>11</v>
      </c>
      <c r="E165" t="s">
        <v>19</v>
      </c>
      <c r="F165" s="10">
        <v>-0.29599999999999999</v>
      </c>
      <c r="G165" s="10">
        <v>0</v>
      </c>
      <c r="H165" s="10">
        <v>118.7285</v>
      </c>
      <c r="I165" s="10">
        <v>0</v>
      </c>
      <c r="K165" s="10">
        <f t="shared" ref="K165" si="83">SQRT((F165-F163)^2+(H165-H163)^2)</f>
        <v>0</v>
      </c>
      <c r="L165" s="10">
        <f t="shared" ref="L165" si="84">L163+K165</f>
        <v>118.72902590576606</v>
      </c>
    </row>
    <row r="166" spans="1:12" x14ac:dyDescent="0.35">
      <c r="A166" s="10"/>
      <c r="B166" s="2" t="s">
        <v>15</v>
      </c>
      <c r="C166" t="s">
        <v>15</v>
      </c>
      <c r="D166" t="s">
        <v>15</v>
      </c>
      <c r="E166" t="s">
        <v>15</v>
      </c>
      <c r="F166" s="10"/>
      <c r="G166" s="10"/>
      <c r="H166" s="10"/>
      <c r="I166" s="10"/>
      <c r="K166" s="10"/>
      <c r="L166" s="10"/>
    </row>
    <row r="167" spans="1:12" x14ac:dyDescent="0.35">
      <c r="A167" s="10">
        <v>123.081</v>
      </c>
      <c r="B167" s="2" t="s">
        <v>9</v>
      </c>
      <c r="C167" t="s">
        <v>65</v>
      </c>
      <c r="D167" t="s">
        <v>66</v>
      </c>
      <c r="E167" t="s">
        <v>67</v>
      </c>
      <c r="F167" s="10">
        <v>-0.31209999999999999</v>
      </c>
      <c r="G167" s="10">
        <v>0</v>
      </c>
      <c r="H167" s="10">
        <v>123.0808</v>
      </c>
      <c r="I167" s="10">
        <v>0</v>
      </c>
      <c r="K167" s="10">
        <f t="shared" ref="K167" si="85">SQRT((F167-F165)^2+(H167-H165)^2)</f>
        <v>4.3523297784060428</v>
      </c>
      <c r="L167" s="10">
        <f t="shared" ref="L167" si="86">L165+K167</f>
        <v>123.08135568417211</v>
      </c>
    </row>
    <row r="168" spans="1:12" x14ac:dyDescent="0.35">
      <c r="A168" s="10">
        <v>124.605</v>
      </c>
      <c r="B168" s="2" t="s">
        <v>13</v>
      </c>
      <c r="C168" t="s">
        <v>65</v>
      </c>
      <c r="D168" t="s">
        <v>66</v>
      </c>
      <c r="E168" t="s">
        <v>67</v>
      </c>
      <c r="F168" s="10">
        <v>-0.31774999999999998</v>
      </c>
      <c r="G168" s="10">
        <v>0</v>
      </c>
      <c r="H168" s="10">
        <v>124.6048</v>
      </c>
      <c r="I168" s="10">
        <v>0</v>
      </c>
      <c r="K168" s="10"/>
      <c r="L168" s="10">
        <f t="shared" ref="L168" si="87">(L167+L169)/2</f>
        <v>124.60536615739727</v>
      </c>
    </row>
    <row r="169" spans="1:12" x14ac:dyDescent="0.35">
      <c r="A169" s="10">
        <v>126.129</v>
      </c>
      <c r="B169" s="2" t="s">
        <v>14</v>
      </c>
      <c r="C169" t="s">
        <v>65</v>
      </c>
      <c r="D169" t="s">
        <v>66</v>
      </c>
      <c r="E169" t="s">
        <v>67</v>
      </c>
      <c r="F169" s="10">
        <v>-0.32340000000000002</v>
      </c>
      <c r="G169" s="10">
        <v>0</v>
      </c>
      <c r="H169" s="10">
        <v>126.1288</v>
      </c>
      <c r="I169" s="10">
        <v>0</v>
      </c>
      <c r="K169" s="10">
        <f t="shared" ref="K169" si="88">SQRT((F169-F167)^2+(H169-H167)^2)</f>
        <v>3.0480209464503374</v>
      </c>
      <c r="L169" s="10">
        <f t="shared" ref="L169" si="89">L167+K169</f>
        <v>126.12937663062245</v>
      </c>
    </row>
    <row r="170" spans="1:12" x14ac:dyDescent="0.35">
      <c r="A170" s="10"/>
      <c r="B170" s="2" t="s">
        <v>15</v>
      </c>
      <c r="C170" t="s">
        <v>15</v>
      </c>
      <c r="D170" t="s">
        <v>15</v>
      </c>
      <c r="E170" t="s">
        <v>15</v>
      </c>
      <c r="F170" s="10"/>
      <c r="G170" s="10"/>
      <c r="H170" s="10"/>
      <c r="I170" s="10"/>
      <c r="K170" s="10"/>
      <c r="L170" s="10"/>
    </row>
    <row r="171" spans="1:12" x14ac:dyDescent="0.35">
      <c r="A171" s="10">
        <v>126.434</v>
      </c>
      <c r="B171" s="2" t="s">
        <v>9</v>
      </c>
      <c r="C171" t="s">
        <v>68</v>
      </c>
      <c r="D171" t="s">
        <v>66</v>
      </c>
      <c r="E171" t="s">
        <v>67</v>
      </c>
      <c r="F171" s="10">
        <v>-0.32450000000000001</v>
      </c>
      <c r="G171" s="10">
        <v>0</v>
      </c>
      <c r="H171" s="10">
        <v>126.4336</v>
      </c>
      <c r="I171" s="10">
        <v>0</v>
      </c>
      <c r="K171" s="10">
        <f t="shared" ref="K171" si="90">SQRT((F171-F169)^2+(H171-H169)^2)</f>
        <v>0.30480198490167371</v>
      </c>
      <c r="L171" s="10">
        <f t="shared" ref="L171" si="91">L169+K171</f>
        <v>126.43417861552412</v>
      </c>
    </row>
    <row r="172" spans="1:12" x14ac:dyDescent="0.35">
      <c r="A172" s="10">
        <v>127.958</v>
      </c>
      <c r="B172" s="2" t="s">
        <v>13</v>
      </c>
      <c r="C172" t="s">
        <v>68</v>
      </c>
      <c r="D172" t="s">
        <v>66</v>
      </c>
      <c r="E172" t="s">
        <v>67</v>
      </c>
      <c r="F172" s="10">
        <v>-0.33015</v>
      </c>
      <c r="G172" s="10">
        <v>0</v>
      </c>
      <c r="H172" s="10">
        <v>127.9576</v>
      </c>
      <c r="I172" s="10">
        <v>0</v>
      </c>
      <c r="K172" s="10"/>
      <c r="L172" s="10">
        <f t="shared" ref="L172" si="92">(L171+L173)/2</f>
        <v>127.95818908874929</v>
      </c>
    </row>
    <row r="173" spans="1:12" x14ac:dyDescent="0.35">
      <c r="A173" s="10">
        <v>129.482</v>
      </c>
      <c r="B173" s="2" t="s">
        <v>14</v>
      </c>
      <c r="C173" t="s">
        <v>68</v>
      </c>
      <c r="D173" t="s">
        <v>66</v>
      </c>
      <c r="E173" t="s">
        <v>67</v>
      </c>
      <c r="F173" s="10">
        <v>-0.33579999999999999</v>
      </c>
      <c r="G173" s="10">
        <v>0</v>
      </c>
      <c r="H173" s="10">
        <v>129.48159999999999</v>
      </c>
      <c r="I173" s="10">
        <v>0</v>
      </c>
      <c r="K173" s="10">
        <f t="shared" ref="K173" si="93">SQRT((F173-F171)^2+(H173-H171)^2)</f>
        <v>3.0480209464503232</v>
      </c>
      <c r="L173" s="10">
        <f t="shared" ref="L173" si="94">L171+K173</f>
        <v>129.48219956197445</v>
      </c>
    </row>
    <row r="174" spans="1:12" x14ac:dyDescent="0.35">
      <c r="A174" s="10"/>
      <c r="B174" s="2" t="s">
        <v>15</v>
      </c>
      <c r="C174" t="s">
        <v>15</v>
      </c>
      <c r="D174" t="s">
        <v>15</v>
      </c>
      <c r="E174" t="s">
        <v>15</v>
      </c>
      <c r="F174" s="10"/>
      <c r="G174" s="10"/>
      <c r="H174" s="10"/>
      <c r="I174" s="10"/>
      <c r="K174" s="10"/>
      <c r="L174" s="10"/>
    </row>
    <row r="175" spans="1:12" x14ac:dyDescent="0.35">
      <c r="A175" s="10">
        <v>129.78700000000001</v>
      </c>
      <c r="B175" s="2" t="s">
        <v>9</v>
      </c>
      <c r="C175" t="s">
        <v>69</v>
      </c>
      <c r="D175" t="s">
        <v>27</v>
      </c>
      <c r="E175" t="s">
        <v>70</v>
      </c>
      <c r="F175" s="10">
        <v>-0.33689999999999998</v>
      </c>
      <c r="G175" s="10">
        <v>0</v>
      </c>
      <c r="H175" s="10">
        <v>129.78639999999999</v>
      </c>
      <c r="I175" s="10">
        <v>-1.5</v>
      </c>
      <c r="K175" s="10">
        <f t="shared" ref="K175" si="95">SQRT((F175-F173)^2+(H175-H173)^2)</f>
        <v>0.30480198490167371</v>
      </c>
      <c r="L175" s="10">
        <f t="shared" ref="L175" si="96">L173+K175</f>
        <v>129.78700154687613</v>
      </c>
    </row>
    <row r="176" spans="1:12" x14ac:dyDescent="0.35">
      <c r="A176" s="10">
        <v>131.31100000000001</v>
      </c>
      <c r="B176" s="2" t="s">
        <v>13</v>
      </c>
      <c r="C176" t="s">
        <v>69</v>
      </c>
      <c r="D176" t="s">
        <v>27</v>
      </c>
      <c r="E176" t="s">
        <v>70</v>
      </c>
      <c r="F176" s="10">
        <v>-0.33650000000000002</v>
      </c>
      <c r="G176" s="10">
        <v>-1.4999999999999999E-4</v>
      </c>
      <c r="H176" s="10">
        <v>131.31039999999999</v>
      </c>
      <c r="I176" s="10">
        <v>-1.5</v>
      </c>
      <c r="K176" s="10"/>
      <c r="L176" s="10">
        <f t="shared" ref="L176" si="97">(L175+L177)/2</f>
        <v>131.31100159936955</v>
      </c>
    </row>
    <row r="177" spans="1:12" x14ac:dyDescent="0.35">
      <c r="A177" s="10">
        <v>132.83500000000001</v>
      </c>
      <c r="B177" s="2" t="s">
        <v>14</v>
      </c>
      <c r="C177" t="s">
        <v>69</v>
      </c>
      <c r="D177" t="s">
        <v>27</v>
      </c>
      <c r="E177" t="s">
        <v>70</v>
      </c>
      <c r="F177" s="10">
        <v>-0.33610000000000001</v>
      </c>
      <c r="G177" s="10">
        <v>-2.9999999999999997E-4</v>
      </c>
      <c r="H177" s="10">
        <v>132.83439999999999</v>
      </c>
      <c r="I177" s="10">
        <v>-1.5</v>
      </c>
      <c r="K177" s="10">
        <f t="shared" ref="K177" si="98">SQRT((F177-F175)^2+(H177-H175)^2)</f>
        <v>3.0480001049868766</v>
      </c>
      <c r="L177" s="10">
        <f t="shared" ref="L177" si="99">L175+K177</f>
        <v>132.835001651863</v>
      </c>
    </row>
    <row r="178" spans="1:12" x14ac:dyDescent="0.35">
      <c r="A178" s="10"/>
      <c r="B178" s="2" t="s">
        <v>15</v>
      </c>
      <c r="C178" t="s">
        <v>15</v>
      </c>
      <c r="D178" t="s">
        <v>15</v>
      </c>
      <c r="E178" t="s">
        <v>15</v>
      </c>
      <c r="F178" s="10"/>
      <c r="G178" s="10"/>
      <c r="H178" s="10"/>
      <c r="I178" s="10"/>
      <c r="K178" s="10"/>
      <c r="L178" s="10"/>
    </row>
    <row r="179" spans="1:12" x14ac:dyDescent="0.35">
      <c r="A179" s="10">
        <v>133.13999999999999</v>
      </c>
      <c r="B179" s="2" t="s">
        <v>9</v>
      </c>
      <c r="C179" t="s">
        <v>71</v>
      </c>
      <c r="D179" t="s">
        <v>27</v>
      </c>
      <c r="E179" t="s">
        <v>70</v>
      </c>
      <c r="F179" s="10">
        <v>-0.33479999999999999</v>
      </c>
      <c r="G179" s="10">
        <v>-4.0000000000000002E-4</v>
      </c>
      <c r="H179" s="10">
        <v>133.13919999999999</v>
      </c>
      <c r="I179" s="10">
        <v>-1.5</v>
      </c>
      <c r="K179" s="10">
        <f t="shared" ref="K179" si="100">SQRT((F179-F177)^2+(H179-H177)^2)</f>
        <v>0.30480277229710379</v>
      </c>
      <c r="L179" s="10">
        <f t="shared" ref="L179" si="101">L177+K179</f>
        <v>133.1398044241601</v>
      </c>
    </row>
    <row r="180" spans="1:12" x14ac:dyDescent="0.35">
      <c r="A180" s="10">
        <v>134.66399999999999</v>
      </c>
      <c r="B180" s="2" t="s">
        <v>13</v>
      </c>
      <c r="C180" t="s">
        <v>71</v>
      </c>
      <c r="D180" t="s">
        <v>27</v>
      </c>
      <c r="E180" t="s">
        <v>70</v>
      </c>
      <c r="F180" s="10">
        <v>-0.32240000000000002</v>
      </c>
      <c r="G180" s="10">
        <v>-8.4999999999999995E-4</v>
      </c>
      <c r="H180" s="10">
        <v>134.66315</v>
      </c>
      <c r="I180" s="10">
        <v>-1.5</v>
      </c>
      <c r="K180" s="10"/>
      <c r="L180" s="10">
        <f t="shared" ref="L180" si="102">(L179+L181)/2</f>
        <v>134.66380487117448</v>
      </c>
    </row>
    <row r="181" spans="1:12" x14ac:dyDescent="0.35">
      <c r="A181" s="10">
        <v>136.18799999999999</v>
      </c>
      <c r="B181" s="2" t="s">
        <v>14</v>
      </c>
      <c r="C181" t="s">
        <v>71</v>
      </c>
      <c r="D181" t="s">
        <v>27</v>
      </c>
      <c r="E181" t="s">
        <v>70</v>
      </c>
      <c r="F181" s="10">
        <v>-0.31</v>
      </c>
      <c r="G181" s="10">
        <v>-1.2999999999999999E-3</v>
      </c>
      <c r="H181" s="10">
        <v>136.18709999999999</v>
      </c>
      <c r="I181" s="10">
        <v>-1.5</v>
      </c>
      <c r="K181" s="10">
        <f t="shared" ref="K181" si="103">SQRT((F181-F179)^2+(H181-H179)^2)</f>
        <v>3.0480008940287386</v>
      </c>
      <c r="L181" s="10">
        <f t="shared" ref="L181" si="104">L179+K181</f>
        <v>136.18780531818885</v>
      </c>
    </row>
    <row r="182" spans="1:12" x14ac:dyDescent="0.35">
      <c r="A182" s="10"/>
      <c r="B182" s="2" t="s">
        <v>15</v>
      </c>
      <c r="C182" t="s">
        <v>15</v>
      </c>
      <c r="D182" t="s">
        <v>15</v>
      </c>
      <c r="E182" t="s">
        <v>15</v>
      </c>
      <c r="F182" s="10"/>
      <c r="G182" s="10"/>
      <c r="H182" s="10"/>
      <c r="I182" s="10"/>
      <c r="K182" s="10"/>
      <c r="L182" s="10"/>
    </row>
    <row r="183" spans="1:12" x14ac:dyDescent="0.35">
      <c r="A183" s="10">
        <v>145.28200000000001</v>
      </c>
      <c r="B183" s="2" t="s">
        <v>9</v>
      </c>
      <c r="C183" t="s">
        <v>72</v>
      </c>
      <c r="D183" t="s">
        <v>27</v>
      </c>
      <c r="E183" t="s">
        <v>73</v>
      </c>
      <c r="F183" s="10">
        <v>-0.19980000000000001</v>
      </c>
      <c r="G183" s="10">
        <v>-5.1000000000000004E-3</v>
      </c>
      <c r="H183" s="10">
        <v>145.28030000000001</v>
      </c>
      <c r="I183" s="10">
        <v>-16.803000000000001</v>
      </c>
      <c r="K183" s="10">
        <f t="shared" ref="K183" si="105">SQRT((F183-F181)^2+(H183-H181)^2)</f>
        <v>9.0938677294097712</v>
      </c>
      <c r="L183" s="10">
        <f t="shared" ref="L183" si="106">L181+K183</f>
        <v>145.28167304759862</v>
      </c>
    </row>
    <row r="184" spans="1:12" x14ac:dyDescent="0.35">
      <c r="A184" s="10">
        <v>146.80600000000001</v>
      </c>
      <c r="B184" s="2" t="s">
        <v>13</v>
      </c>
      <c r="C184" t="s">
        <v>72</v>
      </c>
      <c r="D184" t="s">
        <v>27</v>
      </c>
      <c r="E184" t="s">
        <v>73</v>
      </c>
      <c r="F184" s="10">
        <v>-0.17765</v>
      </c>
      <c r="G184" s="10">
        <v>-6.8500000000000002E-3</v>
      </c>
      <c r="H184" s="10">
        <v>146.80414999999999</v>
      </c>
      <c r="I184" s="10">
        <v>-16.803000000000001</v>
      </c>
      <c r="K184" s="10"/>
      <c r="L184" s="10">
        <f t="shared" ref="L184" si="107">(L183+L185)/2</f>
        <v>146.80568402032816</v>
      </c>
    </row>
    <row r="185" spans="1:12" x14ac:dyDescent="0.35">
      <c r="A185" s="10">
        <v>148.33000000000001</v>
      </c>
      <c r="B185" s="2" t="s">
        <v>14</v>
      </c>
      <c r="C185" t="s">
        <v>72</v>
      </c>
      <c r="D185" t="s">
        <v>27</v>
      </c>
      <c r="E185" t="s">
        <v>73</v>
      </c>
      <c r="F185" s="10">
        <v>-0.1555</v>
      </c>
      <c r="G185" s="10">
        <v>-8.6E-3</v>
      </c>
      <c r="H185" s="10">
        <v>148.328</v>
      </c>
      <c r="I185" s="10">
        <v>-16.803000000000001</v>
      </c>
      <c r="K185" s="10">
        <f t="shared" ref="K185" si="108">SQRT((F185-F183)^2+(H185-H183)^2)</f>
        <v>3.0480219454590465</v>
      </c>
      <c r="L185" s="10">
        <f t="shared" ref="L185" si="109">L183+K185</f>
        <v>148.32969499305767</v>
      </c>
    </row>
    <row r="186" spans="1:12" x14ac:dyDescent="0.35">
      <c r="A186" s="10"/>
      <c r="B186" s="2" t="s">
        <v>15</v>
      </c>
      <c r="C186" t="s">
        <v>15</v>
      </c>
      <c r="D186" t="s">
        <v>15</v>
      </c>
      <c r="E186" t="s">
        <v>15</v>
      </c>
      <c r="F186" s="10"/>
      <c r="G186" s="10"/>
      <c r="H186" s="10"/>
      <c r="I186" s="10"/>
      <c r="K186" s="10"/>
      <c r="L186" s="10"/>
    </row>
    <row r="187" spans="1:12" x14ac:dyDescent="0.35">
      <c r="A187" s="10">
        <v>149.02000000000001</v>
      </c>
      <c r="B187" s="2" t="s">
        <v>9</v>
      </c>
      <c r="C187" t="s">
        <v>74</v>
      </c>
      <c r="D187" t="s">
        <v>27</v>
      </c>
      <c r="E187" t="s">
        <v>73</v>
      </c>
      <c r="F187" s="10">
        <v>-0.1439</v>
      </c>
      <c r="G187" s="10">
        <v>-9.9000000000000008E-3</v>
      </c>
      <c r="H187" s="10">
        <v>149.01859999999999</v>
      </c>
      <c r="I187" s="10">
        <v>-16.803000000000001</v>
      </c>
      <c r="K187" s="10">
        <f t="shared" ref="K187" si="110">SQRT((F187-F185)^2+(H187-H185)^2)</f>
        <v>0.69069741566042153</v>
      </c>
      <c r="L187" s="10">
        <f t="shared" ref="L187" si="111">L185+K187</f>
        <v>149.0203924087181</v>
      </c>
    </row>
    <row r="188" spans="1:12" x14ac:dyDescent="0.35">
      <c r="A188" s="10">
        <v>150.54400000000001</v>
      </c>
      <c r="B188" s="2" t="s">
        <v>13</v>
      </c>
      <c r="C188" t="s">
        <v>74</v>
      </c>
      <c r="D188" t="s">
        <v>27</v>
      </c>
      <c r="E188" t="s">
        <v>73</v>
      </c>
      <c r="F188" s="10">
        <v>-0.11445</v>
      </c>
      <c r="G188" s="10">
        <v>-1.38E-2</v>
      </c>
      <c r="H188" s="10">
        <v>150.54230000000001</v>
      </c>
      <c r="I188" s="10">
        <v>-16.803000000000001</v>
      </c>
      <c r="K188" s="10"/>
      <c r="L188" s="10">
        <f t="shared" ref="L188" si="112">(L187+L189)/2</f>
        <v>150.54437698623192</v>
      </c>
    </row>
    <row r="189" spans="1:12" x14ac:dyDescent="0.35">
      <c r="A189" s="10">
        <v>152.06800000000001</v>
      </c>
      <c r="B189" s="2" t="s">
        <v>14</v>
      </c>
      <c r="C189" t="s">
        <v>74</v>
      </c>
      <c r="D189" t="s">
        <v>27</v>
      </c>
      <c r="E189" t="s">
        <v>73</v>
      </c>
      <c r="F189" s="10">
        <v>-8.5000000000000006E-2</v>
      </c>
      <c r="G189" s="10">
        <v>-1.77E-2</v>
      </c>
      <c r="H189" s="10">
        <v>152.066</v>
      </c>
      <c r="I189" s="10">
        <v>-16.803000000000001</v>
      </c>
      <c r="K189" s="10">
        <f t="shared" ref="K189" si="113">SQRT((F189-F187)^2+(H189-H187)^2)</f>
        <v>3.0479691550276655</v>
      </c>
      <c r="L189" s="10">
        <f t="shared" ref="L189" si="114">L187+K189</f>
        <v>152.06836156374575</v>
      </c>
    </row>
    <row r="190" spans="1:12" x14ac:dyDescent="0.35">
      <c r="A190" s="10"/>
      <c r="B190" s="2" t="s">
        <v>15</v>
      </c>
      <c r="C190" t="s">
        <v>15</v>
      </c>
      <c r="D190" t="s">
        <v>15</v>
      </c>
      <c r="E190" t="s">
        <v>15</v>
      </c>
      <c r="F190" s="10"/>
      <c r="G190" s="10"/>
      <c r="H190" s="10"/>
      <c r="I190" s="10"/>
      <c r="K190" s="10"/>
      <c r="L190" s="10"/>
    </row>
    <row r="191" spans="1:12" x14ac:dyDescent="0.35">
      <c r="A191" s="10">
        <v>152.739</v>
      </c>
      <c r="B191" s="2" t="s">
        <v>9</v>
      </c>
      <c r="C191" t="s">
        <v>75</v>
      </c>
      <c r="D191" t="s">
        <v>27</v>
      </c>
      <c r="E191" t="s">
        <v>73</v>
      </c>
      <c r="F191" s="10">
        <v>-7.0400000000000004E-2</v>
      </c>
      <c r="G191" s="10">
        <v>-0.02</v>
      </c>
      <c r="H191" s="10">
        <v>152.73689999999999</v>
      </c>
      <c r="I191" s="10">
        <v>-16.803000000000001</v>
      </c>
      <c r="K191" s="10">
        <f t="shared" ref="K191" si="115">SQRT((F191-F189)^2+(H191-H189)^2)</f>
        <v>0.67105884242738734</v>
      </c>
      <c r="L191" s="10">
        <f t="shared" ref="L191" si="116">L189+K191</f>
        <v>152.73942040617314</v>
      </c>
    </row>
    <row r="192" spans="1:12" x14ac:dyDescent="0.35">
      <c r="A192" s="10">
        <v>154.26300000000001</v>
      </c>
      <c r="B192" s="2" t="s">
        <v>13</v>
      </c>
      <c r="C192" t="s">
        <v>75</v>
      </c>
      <c r="D192" t="s">
        <v>27</v>
      </c>
      <c r="E192" t="s">
        <v>73</v>
      </c>
      <c r="F192" s="10">
        <v>-3.3649999999999999E-2</v>
      </c>
      <c r="G192" s="10">
        <v>-2.615E-2</v>
      </c>
      <c r="H192" s="10">
        <v>154.26044999999999</v>
      </c>
      <c r="I192" s="10">
        <v>-16.803000000000001</v>
      </c>
      <c r="K192" s="10"/>
      <c r="L192" s="10">
        <f t="shared" ref="L192" si="117">(L191+L193)/2</f>
        <v>154.26341357052789</v>
      </c>
    </row>
    <row r="193" spans="1:12" x14ac:dyDescent="0.35">
      <c r="A193" s="10">
        <v>155.78700000000001</v>
      </c>
      <c r="B193" s="2" t="s">
        <v>14</v>
      </c>
      <c r="C193" t="s">
        <v>75</v>
      </c>
      <c r="D193" t="s">
        <v>27</v>
      </c>
      <c r="E193" t="s">
        <v>73</v>
      </c>
      <c r="F193" s="10">
        <v>3.0999999999999999E-3</v>
      </c>
      <c r="G193" s="10">
        <v>-3.2300000000000002E-2</v>
      </c>
      <c r="H193" s="10">
        <v>155.78399999999999</v>
      </c>
      <c r="I193" s="10">
        <v>-16.803000000000001</v>
      </c>
      <c r="K193" s="10">
        <f t="shared" ref="K193" si="118">SQRT((F193-F191)^2+(H193-H191)^2)</f>
        <v>3.0479863287094977</v>
      </c>
      <c r="L193" s="10">
        <f t="shared" ref="L193" si="119">L191+K193</f>
        <v>155.78740673488264</v>
      </c>
    </row>
    <row r="194" spans="1:12" x14ac:dyDescent="0.35">
      <c r="A194" s="10"/>
      <c r="B194" s="2" t="s">
        <v>15</v>
      </c>
      <c r="C194" t="s">
        <v>15</v>
      </c>
      <c r="D194" t="s">
        <v>15</v>
      </c>
      <c r="E194" t="s">
        <v>15</v>
      </c>
      <c r="F194" s="10"/>
      <c r="G194" s="10"/>
      <c r="H194" s="10"/>
      <c r="I194" s="10"/>
      <c r="K194" s="10"/>
      <c r="L194" s="10"/>
    </row>
    <row r="195" spans="1:12" x14ac:dyDescent="0.35">
      <c r="A195" s="10">
        <v>158.642</v>
      </c>
      <c r="B195" s="2" t="s">
        <v>9</v>
      </c>
      <c r="C195" t="s">
        <v>76</v>
      </c>
      <c r="D195" t="s">
        <v>27</v>
      </c>
      <c r="E195" t="s">
        <v>77</v>
      </c>
      <c r="F195" s="10">
        <v>7.8799999999999995E-2</v>
      </c>
      <c r="G195" s="10">
        <v>-4.5900000000000003E-2</v>
      </c>
      <c r="H195" s="10">
        <v>158.63730000000001</v>
      </c>
      <c r="I195" s="10">
        <v>-90</v>
      </c>
      <c r="K195" s="10">
        <f t="shared" ref="K195" si="120">SQRT((F195-F193)^2+(H195-H193)^2)</f>
        <v>2.854304009736893</v>
      </c>
      <c r="L195" s="10">
        <f t="shared" ref="L195" si="121">L193+K195</f>
        <v>158.64171074461953</v>
      </c>
    </row>
    <row r="196" spans="1:12" x14ac:dyDescent="0.35">
      <c r="A196" s="10">
        <v>159.023</v>
      </c>
      <c r="B196" s="2" t="s">
        <v>13</v>
      </c>
      <c r="C196" t="s">
        <v>76</v>
      </c>
      <c r="D196" t="s">
        <v>27</v>
      </c>
      <c r="E196" t="s">
        <v>77</v>
      </c>
      <c r="F196" s="10">
        <v>8.8900000000000007E-2</v>
      </c>
      <c r="G196" s="10">
        <v>-4.7699999999999999E-2</v>
      </c>
      <c r="H196" s="10">
        <v>159.01814999999999</v>
      </c>
      <c r="I196" s="10">
        <v>-90</v>
      </c>
      <c r="K196" s="10"/>
      <c r="L196" s="10">
        <f t="shared" ref="L196" si="122">(L195+L197)/2</f>
        <v>159.02269464519802</v>
      </c>
    </row>
    <row r="197" spans="1:12" x14ac:dyDescent="0.35">
      <c r="A197" s="10">
        <v>159.404</v>
      </c>
      <c r="B197" s="2" t="s">
        <v>14</v>
      </c>
      <c r="C197" t="s">
        <v>76</v>
      </c>
      <c r="D197" t="s">
        <v>27</v>
      </c>
      <c r="E197" t="s">
        <v>77</v>
      </c>
      <c r="F197" s="10">
        <v>9.9000000000000005E-2</v>
      </c>
      <c r="G197" s="10">
        <v>-4.9500000000000002E-2</v>
      </c>
      <c r="H197" s="10">
        <v>159.399</v>
      </c>
      <c r="I197" s="10">
        <v>-90</v>
      </c>
      <c r="K197" s="10">
        <f t="shared" ref="K197" si="123">SQRT((F197-F195)^2+(H197-H195)^2)</f>
        <v>0.76196780115696849</v>
      </c>
      <c r="L197" s="10">
        <f t="shared" ref="L197" si="124">L195+K197</f>
        <v>159.4036785457765</v>
      </c>
    </row>
    <row r="198" spans="1:12" x14ac:dyDescent="0.35">
      <c r="A198" s="10"/>
      <c r="B198" s="2" t="s">
        <v>15</v>
      </c>
      <c r="C198" t="s">
        <v>15</v>
      </c>
      <c r="D198" t="s">
        <v>15</v>
      </c>
      <c r="E198" t="s">
        <v>15</v>
      </c>
      <c r="F198" s="10"/>
      <c r="G198" s="10"/>
      <c r="H198" s="10"/>
      <c r="I198" s="10"/>
      <c r="K198" s="10"/>
      <c r="L198" s="10"/>
    </row>
    <row r="199" spans="1:12" x14ac:dyDescent="0.35">
      <c r="A199" s="10">
        <v>177.07900000000001</v>
      </c>
      <c r="B199" s="2" t="s">
        <v>9</v>
      </c>
      <c r="C199" t="s">
        <v>78</v>
      </c>
      <c r="D199" t="s">
        <v>11</v>
      </c>
      <c r="E199" t="s">
        <v>19</v>
      </c>
      <c r="F199" s="10">
        <v>0.56759999999999999</v>
      </c>
      <c r="G199" s="10">
        <v>-0.13370000000000001</v>
      </c>
      <c r="H199" s="10">
        <v>177.0676</v>
      </c>
      <c r="I199" s="10">
        <v>0</v>
      </c>
      <c r="K199" s="10">
        <f t="shared" ref="K199" si="125">SQRT((F199-F197)^2+(H199-H197)^2)</f>
        <v>17.674812924611111</v>
      </c>
      <c r="L199" s="10">
        <f t="shared" ref="L199" si="126">L197+K199</f>
        <v>177.0784914703876</v>
      </c>
    </row>
    <row r="200" spans="1:12" x14ac:dyDescent="0.35">
      <c r="A200" s="10">
        <v>177.07900000000001</v>
      </c>
      <c r="B200" s="2" t="s">
        <v>13</v>
      </c>
      <c r="C200" t="s">
        <v>78</v>
      </c>
      <c r="D200" t="s">
        <v>11</v>
      </c>
      <c r="E200" t="s">
        <v>19</v>
      </c>
      <c r="F200" s="10">
        <v>0.56759999999999999</v>
      </c>
      <c r="G200" s="10">
        <v>-0.13370000000000001</v>
      </c>
      <c r="H200" s="10">
        <v>177.0676</v>
      </c>
      <c r="I200" s="10">
        <v>0</v>
      </c>
      <c r="K200" s="10"/>
      <c r="L200" s="10">
        <f t="shared" ref="L200" si="127">(L199+L201)/2</f>
        <v>177.0784914703876</v>
      </c>
    </row>
    <row r="201" spans="1:12" x14ac:dyDescent="0.35">
      <c r="A201" s="10">
        <v>177.07900000000001</v>
      </c>
      <c r="B201" s="2" t="s">
        <v>14</v>
      </c>
      <c r="C201" t="s">
        <v>78</v>
      </c>
      <c r="D201" t="s">
        <v>11</v>
      </c>
      <c r="E201" t="s">
        <v>19</v>
      </c>
      <c r="F201" s="10">
        <v>0.56759999999999999</v>
      </c>
      <c r="G201" s="10">
        <v>-0.13370000000000001</v>
      </c>
      <c r="H201" s="10">
        <v>177.0676</v>
      </c>
      <c r="I201" s="10">
        <v>0</v>
      </c>
      <c r="K201" s="10">
        <f t="shared" ref="K201" si="128">SQRT((F201-F199)^2+(H201-H199)^2)</f>
        <v>0</v>
      </c>
      <c r="L201" s="10">
        <f t="shared" ref="L201" si="129">L199+K201</f>
        <v>177.0784914703876</v>
      </c>
    </row>
    <row r="202" spans="1:12" x14ac:dyDescent="0.35">
      <c r="A202" s="10"/>
      <c r="B202" s="2" t="s">
        <v>15</v>
      </c>
      <c r="C202" t="s">
        <v>15</v>
      </c>
      <c r="D202" t="s">
        <v>15</v>
      </c>
      <c r="E202" t="s">
        <v>15</v>
      </c>
      <c r="F202" s="10"/>
      <c r="G202" s="10"/>
      <c r="H202" s="10"/>
      <c r="I202" s="10"/>
      <c r="K202" s="10"/>
      <c r="L202" s="10"/>
    </row>
    <row r="203" spans="1:12" x14ac:dyDescent="0.35">
      <c r="A203" s="10">
        <v>177.38399999999999</v>
      </c>
      <c r="B203" s="2" t="s">
        <v>9</v>
      </c>
      <c r="C203" t="s">
        <v>79</v>
      </c>
      <c r="D203" t="s">
        <v>11</v>
      </c>
      <c r="E203" t="s">
        <v>24</v>
      </c>
      <c r="F203" s="10">
        <v>0.57569999999999999</v>
      </c>
      <c r="G203" s="10">
        <v>-0.1351</v>
      </c>
      <c r="H203" s="10">
        <v>177.3723</v>
      </c>
      <c r="I203" s="10">
        <v>0</v>
      </c>
      <c r="K203" s="10">
        <f t="shared" ref="K203" si="130">SQRT((F203-F201)^2+(H203-H201)^2)</f>
        <v>0.30480764426109475</v>
      </c>
      <c r="L203" s="10">
        <f t="shared" ref="L203" si="131">L201+K203</f>
        <v>177.38329911464871</v>
      </c>
    </row>
    <row r="204" spans="1:12" x14ac:dyDescent="0.35">
      <c r="A204" s="10">
        <v>177.38399999999999</v>
      </c>
      <c r="B204" s="2" t="s">
        <v>13</v>
      </c>
      <c r="C204" t="s">
        <v>79</v>
      </c>
      <c r="D204" t="s">
        <v>11</v>
      </c>
      <c r="E204" t="s">
        <v>24</v>
      </c>
      <c r="F204" s="10">
        <v>0.57569999999999999</v>
      </c>
      <c r="G204" s="10">
        <v>-0.1351</v>
      </c>
      <c r="H204" s="10">
        <v>177.3723</v>
      </c>
      <c r="I204" s="10">
        <v>0</v>
      </c>
      <c r="K204" s="10"/>
      <c r="L204" s="10">
        <f t="shared" ref="L204" si="132">(L203+L205)/2</f>
        <v>177.38329911464871</v>
      </c>
    </row>
    <row r="205" spans="1:12" x14ac:dyDescent="0.35">
      <c r="A205" s="10">
        <v>177.38399999999999</v>
      </c>
      <c r="B205" s="2" t="s">
        <v>14</v>
      </c>
      <c r="C205" t="s">
        <v>79</v>
      </c>
      <c r="D205" t="s">
        <v>11</v>
      </c>
      <c r="E205" t="s">
        <v>24</v>
      </c>
      <c r="F205" s="10">
        <v>0.57569999999999999</v>
      </c>
      <c r="G205" s="10">
        <v>-0.1351</v>
      </c>
      <c r="H205" s="10">
        <v>177.3723</v>
      </c>
      <c r="I205" s="10">
        <v>0</v>
      </c>
      <c r="K205" s="10">
        <f t="shared" ref="K205" si="133">SQRT((F205-F203)^2+(H205-H203)^2)</f>
        <v>0</v>
      </c>
      <c r="L205" s="10">
        <f t="shared" ref="L205" si="134">L203+K205</f>
        <v>177.38329911464871</v>
      </c>
    </row>
    <row r="206" spans="1:12" x14ac:dyDescent="0.35">
      <c r="A206" s="10"/>
      <c r="B206" s="2" t="s">
        <v>15</v>
      </c>
      <c r="C206" t="s">
        <v>15</v>
      </c>
      <c r="D206" t="s">
        <v>15</v>
      </c>
      <c r="E206" t="s">
        <v>15</v>
      </c>
      <c r="F206" s="10"/>
      <c r="G206" s="10"/>
      <c r="H206" s="10"/>
      <c r="I206" s="10"/>
      <c r="K206" s="10"/>
      <c r="L206" s="10"/>
    </row>
    <row r="207" spans="1:12" x14ac:dyDescent="0.35">
      <c r="A207" s="10">
        <v>177.727</v>
      </c>
      <c r="B207" s="2" t="s">
        <v>9</v>
      </c>
      <c r="C207" t="s">
        <v>80</v>
      </c>
      <c r="D207" t="s">
        <v>11</v>
      </c>
      <c r="E207" t="s">
        <v>17</v>
      </c>
      <c r="F207" s="10">
        <v>0.58479999999999999</v>
      </c>
      <c r="G207" s="10">
        <v>-0.1368</v>
      </c>
      <c r="H207" s="10">
        <v>177.71510000000001</v>
      </c>
      <c r="I207" s="10">
        <v>0</v>
      </c>
      <c r="K207" s="10">
        <f t="shared" ref="K207" si="135">SQRT((F207-F205)^2+(H207-H205)^2)</f>
        <v>0.34292076344252997</v>
      </c>
      <c r="L207" s="10">
        <f t="shared" ref="L207" si="136">L205+K207</f>
        <v>177.72621987809123</v>
      </c>
    </row>
    <row r="208" spans="1:12" x14ac:dyDescent="0.35">
      <c r="A208" s="10">
        <v>177.727</v>
      </c>
      <c r="B208" s="2" t="s">
        <v>13</v>
      </c>
      <c r="C208" t="s">
        <v>80</v>
      </c>
      <c r="D208" t="s">
        <v>11</v>
      </c>
      <c r="E208" t="s">
        <v>17</v>
      </c>
      <c r="F208" s="10">
        <v>0.58479999999999999</v>
      </c>
      <c r="G208" s="10">
        <v>-0.1368</v>
      </c>
      <c r="H208" s="10">
        <v>177.71510000000001</v>
      </c>
      <c r="I208" s="10">
        <v>0</v>
      </c>
      <c r="K208" s="10"/>
      <c r="L208" s="10">
        <f t="shared" ref="L208" si="137">(L207+L209)/2</f>
        <v>177.72621987809123</v>
      </c>
    </row>
    <row r="209" spans="1:12" x14ac:dyDescent="0.35">
      <c r="A209" s="10">
        <v>177.727</v>
      </c>
      <c r="B209" s="2" t="s">
        <v>14</v>
      </c>
      <c r="C209" t="s">
        <v>80</v>
      </c>
      <c r="D209" t="s">
        <v>11</v>
      </c>
      <c r="E209" t="s">
        <v>17</v>
      </c>
      <c r="F209" s="10">
        <v>0.58479999999999999</v>
      </c>
      <c r="G209" s="10">
        <v>-0.1368</v>
      </c>
      <c r="H209" s="10">
        <v>177.71510000000001</v>
      </c>
      <c r="I209" s="10">
        <v>0</v>
      </c>
      <c r="K209" s="10">
        <f t="shared" ref="K209" si="138">SQRT((F209-F207)^2+(H209-H207)^2)</f>
        <v>0</v>
      </c>
      <c r="L209" s="10">
        <f t="shared" ref="L209" si="139">L207+K209</f>
        <v>177.72621987809123</v>
      </c>
    </row>
    <row r="210" spans="1:12" x14ac:dyDescent="0.35">
      <c r="A210" s="10"/>
      <c r="B210" s="2" t="s">
        <v>15</v>
      </c>
      <c r="C210" t="s">
        <v>15</v>
      </c>
      <c r="D210" t="s">
        <v>15</v>
      </c>
      <c r="E210" t="s">
        <v>15</v>
      </c>
      <c r="F210" s="10"/>
      <c r="G210" s="10"/>
      <c r="H210" s="10"/>
      <c r="I210" s="10"/>
      <c r="K210" s="10"/>
      <c r="L210" s="10"/>
    </row>
    <row r="211" spans="1:12" x14ac:dyDescent="0.35">
      <c r="A211" s="10">
        <v>177.95599999999999</v>
      </c>
      <c r="B211" s="2" t="s">
        <v>9</v>
      </c>
      <c r="C211" t="s">
        <v>81</v>
      </c>
      <c r="D211" t="s">
        <v>27</v>
      </c>
      <c r="E211" t="s">
        <v>70</v>
      </c>
      <c r="F211" s="10">
        <v>0.59089999999999998</v>
      </c>
      <c r="G211" s="10">
        <v>-0.13789999999999999</v>
      </c>
      <c r="H211" s="10">
        <v>177.94399999999999</v>
      </c>
      <c r="I211" s="10">
        <v>5.931</v>
      </c>
      <c r="K211" s="10">
        <f t="shared" ref="K211" si="140">SQRT((F211-F209)^2+(H211-H209)^2)</f>
        <v>0.22898126560920135</v>
      </c>
      <c r="L211" s="10">
        <f t="shared" ref="L211" si="141">L209+K211</f>
        <v>177.95520114370044</v>
      </c>
    </row>
    <row r="212" spans="1:12" x14ac:dyDescent="0.35">
      <c r="A212" s="10">
        <v>179.48</v>
      </c>
      <c r="B212" s="2" t="s">
        <v>13</v>
      </c>
      <c r="C212" t="s">
        <v>81</v>
      </c>
      <c r="D212" t="s">
        <v>27</v>
      </c>
      <c r="E212" t="s">
        <v>70</v>
      </c>
      <c r="F212" s="10">
        <v>0.63560000000000005</v>
      </c>
      <c r="G212" s="10">
        <v>-0.1447</v>
      </c>
      <c r="H212" s="10">
        <v>179.46735000000001</v>
      </c>
      <c r="I212" s="10">
        <v>5.931</v>
      </c>
      <c r="K212" s="10"/>
      <c r="L212" s="10">
        <f t="shared" ref="L212" si="142">(L211+L213)/2</f>
        <v>179.47920682364392</v>
      </c>
    </row>
    <row r="213" spans="1:12" x14ac:dyDescent="0.35">
      <c r="A213" s="10">
        <v>181.00399999999999</v>
      </c>
      <c r="B213" s="2" t="s">
        <v>14</v>
      </c>
      <c r="C213" t="s">
        <v>81</v>
      </c>
      <c r="D213" t="s">
        <v>27</v>
      </c>
      <c r="E213" t="s">
        <v>70</v>
      </c>
      <c r="F213" s="10">
        <v>0.68030000000000002</v>
      </c>
      <c r="G213" s="10">
        <v>-0.1515</v>
      </c>
      <c r="H213" s="10">
        <v>180.9907</v>
      </c>
      <c r="I213" s="10">
        <v>5.931</v>
      </c>
      <c r="K213" s="10">
        <f t="shared" ref="K213" si="143">SQRT((F213-F211)^2+(H213-H211)^2)</f>
        <v>3.0480113598869827</v>
      </c>
      <c r="L213" s="10">
        <f t="shared" ref="L213" si="144">L211+K213</f>
        <v>181.00321250358741</v>
      </c>
    </row>
    <row r="214" spans="1:12" x14ac:dyDescent="0.35">
      <c r="A214" s="10"/>
      <c r="B214" s="2" t="s">
        <v>15</v>
      </c>
      <c r="C214" t="s">
        <v>15</v>
      </c>
      <c r="D214" t="s">
        <v>15</v>
      </c>
      <c r="E214" t="s">
        <v>15</v>
      </c>
      <c r="F214" s="10"/>
      <c r="G214" s="10"/>
      <c r="H214" s="10"/>
      <c r="I214" s="10"/>
      <c r="K214" s="10"/>
      <c r="L214" s="10"/>
    </row>
    <row r="215" spans="1:12" x14ac:dyDescent="0.35">
      <c r="A215" s="10">
        <v>181.02099999999999</v>
      </c>
      <c r="B215" s="2" t="s">
        <v>9</v>
      </c>
      <c r="C215" t="s">
        <v>82</v>
      </c>
      <c r="D215" t="s">
        <v>27</v>
      </c>
      <c r="E215" t="s">
        <v>70</v>
      </c>
      <c r="F215" s="10">
        <v>0.68089999999999995</v>
      </c>
      <c r="G215" s="10">
        <v>-0.1515</v>
      </c>
      <c r="H215" s="10">
        <v>181.00810000000001</v>
      </c>
      <c r="I215" s="10">
        <v>5.931</v>
      </c>
      <c r="K215" s="10">
        <f t="shared" ref="K215" si="145">SQRT((F215-F213)^2+(H215-H213)^2)</f>
        <v>1.7410341754265469E-2</v>
      </c>
      <c r="L215" s="10">
        <f t="shared" ref="L215" si="146">L213+K215</f>
        <v>181.02062284534168</v>
      </c>
    </row>
    <row r="216" spans="1:12" x14ac:dyDescent="0.35">
      <c r="A216" s="10">
        <v>182.54499999999999</v>
      </c>
      <c r="B216" s="2" t="s">
        <v>13</v>
      </c>
      <c r="C216" t="s">
        <v>82</v>
      </c>
      <c r="D216" t="s">
        <v>27</v>
      </c>
      <c r="E216" t="s">
        <v>70</v>
      </c>
      <c r="F216" s="10">
        <v>0.73434999999999995</v>
      </c>
      <c r="G216" s="10">
        <v>-0.15745000000000001</v>
      </c>
      <c r="H216" s="10">
        <v>182.53115</v>
      </c>
      <c r="I216" s="10">
        <v>5.931</v>
      </c>
      <c r="K216" s="10"/>
      <c r="L216" s="10">
        <f t="shared" ref="L216" si="147">(L215+L217)/2</f>
        <v>182.54461044535685</v>
      </c>
    </row>
    <row r="217" spans="1:12" x14ac:dyDescent="0.35">
      <c r="A217" s="10">
        <v>184.06899999999999</v>
      </c>
      <c r="B217" s="2" t="s">
        <v>14</v>
      </c>
      <c r="C217" t="s">
        <v>82</v>
      </c>
      <c r="D217" t="s">
        <v>27</v>
      </c>
      <c r="E217" t="s">
        <v>70</v>
      </c>
      <c r="F217" s="10">
        <v>0.78779999999999994</v>
      </c>
      <c r="G217" s="10">
        <v>-0.16339999999999999</v>
      </c>
      <c r="H217" s="10">
        <v>184.05420000000001</v>
      </c>
      <c r="I217" s="10">
        <v>5.931</v>
      </c>
      <c r="K217" s="10">
        <f t="shared" ref="K217" si="148">SQRT((F217-F215)^2+(H217-H215)^2)</f>
        <v>3.0479752000303368</v>
      </c>
      <c r="L217" s="10">
        <f t="shared" ref="L217" si="149">L215+K217</f>
        <v>184.06859804537203</v>
      </c>
    </row>
    <row r="218" spans="1:12" x14ac:dyDescent="0.35">
      <c r="A218" s="10"/>
      <c r="B218" s="2" t="s">
        <v>15</v>
      </c>
      <c r="C218" t="s">
        <v>15</v>
      </c>
      <c r="D218" t="s">
        <v>15</v>
      </c>
      <c r="E218" t="s">
        <v>15</v>
      </c>
      <c r="F218" s="10"/>
      <c r="G218" s="10"/>
      <c r="H218" s="10"/>
      <c r="I218" s="10"/>
      <c r="K218" s="10"/>
      <c r="L218" s="10"/>
    </row>
    <row r="219" spans="1:12" x14ac:dyDescent="0.35">
      <c r="A219" s="10">
        <v>184.38900000000001</v>
      </c>
      <c r="B219" s="2" t="s">
        <v>9</v>
      </c>
      <c r="C219" t="s">
        <v>83</v>
      </c>
      <c r="D219" t="s">
        <v>27</v>
      </c>
      <c r="E219" t="s">
        <v>70</v>
      </c>
      <c r="F219" s="10">
        <v>0.79990000000000006</v>
      </c>
      <c r="G219" s="10">
        <v>-0.16450000000000001</v>
      </c>
      <c r="H219" s="10">
        <v>184.3741</v>
      </c>
      <c r="I219" s="10">
        <v>5.931</v>
      </c>
      <c r="K219" s="10">
        <f t="shared" ref="K219" si="150">SQRT((F219-F217)^2+(H219-H217)^2)</f>
        <v>0.32012875534695961</v>
      </c>
      <c r="L219" s="10">
        <f t="shared" ref="L219" si="151">L217+K219</f>
        <v>184.38872680071898</v>
      </c>
    </row>
    <row r="220" spans="1:12" x14ac:dyDescent="0.35">
      <c r="A220" s="10">
        <v>185.91300000000001</v>
      </c>
      <c r="B220" s="2" t="s">
        <v>13</v>
      </c>
      <c r="C220" t="s">
        <v>83</v>
      </c>
      <c r="D220" t="s">
        <v>27</v>
      </c>
      <c r="E220" t="s">
        <v>70</v>
      </c>
      <c r="F220" s="10">
        <v>0.86199999999999999</v>
      </c>
      <c r="G220" s="10">
        <v>-0.16950000000000001</v>
      </c>
      <c r="H220" s="10">
        <v>185.89680000000001</v>
      </c>
      <c r="I220" s="10">
        <v>5.931</v>
      </c>
      <c r="K220" s="10"/>
      <c r="L220" s="10">
        <f t="shared" ref="L220" si="152">(L219+L221)/2</f>
        <v>185.9126925811747</v>
      </c>
    </row>
    <row r="221" spans="1:12" x14ac:dyDescent="0.35">
      <c r="A221" s="10">
        <v>187.43700000000001</v>
      </c>
      <c r="B221" s="2" t="s">
        <v>14</v>
      </c>
      <c r="C221" t="s">
        <v>83</v>
      </c>
      <c r="D221" t="s">
        <v>27</v>
      </c>
      <c r="E221" t="s">
        <v>70</v>
      </c>
      <c r="F221" s="10">
        <v>0.92410000000000003</v>
      </c>
      <c r="G221" s="10">
        <v>-0.17449999999999999</v>
      </c>
      <c r="H221" s="10">
        <v>187.4195</v>
      </c>
      <c r="I221" s="10">
        <v>5.931</v>
      </c>
      <c r="K221" s="10">
        <f t="shared" ref="K221" si="153">SQRT((F221-F219)^2+(H221-H219)^2)</f>
        <v>3.047931560911433</v>
      </c>
      <c r="L221" s="10">
        <f t="shared" ref="L221" si="154">L219+K221</f>
        <v>187.43665836163041</v>
      </c>
    </row>
    <row r="222" spans="1:12" x14ac:dyDescent="0.35">
      <c r="A222" s="10"/>
      <c r="B222" s="2" t="s">
        <v>15</v>
      </c>
      <c r="C222" t="s">
        <v>15</v>
      </c>
      <c r="D222" t="s">
        <v>15</v>
      </c>
      <c r="E222" t="s">
        <v>15</v>
      </c>
      <c r="F222" s="10"/>
      <c r="G222" s="10"/>
      <c r="H222" s="10"/>
      <c r="I222" s="10"/>
      <c r="K222" s="10"/>
      <c r="L222" s="10"/>
    </row>
    <row r="223" spans="1:12" x14ac:dyDescent="0.35">
      <c r="A223" s="10">
        <v>187.76599999999999</v>
      </c>
      <c r="B223" s="2" t="s">
        <v>9</v>
      </c>
      <c r="C223" t="s">
        <v>84</v>
      </c>
      <c r="D223" t="s">
        <v>27</v>
      </c>
      <c r="E223" t="s">
        <v>70</v>
      </c>
      <c r="F223" s="10">
        <v>0.93840000000000001</v>
      </c>
      <c r="G223" s="10">
        <v>-0.17549999999999999</v>
      </c>
      <c r="H223" s="10">
        <v>187.74850000000001</v>
      </c>
      <c r="I223" s="10">
        <v>5.931</v>
      </c>
      <c r="K223" s="10">
        <f t="shared" ref="K223" si="155">SQRT((F223-F221)^2+(H223-H221)^2)</f>
        <v>0.32931062843462111</v>
      </c>
      <c r="L223" s="10">
        <f t="shared" ref="L223" si="156">L221+K223</f>
        <v>187.76596899006503</v>
      </c>
    </row>
    <row r="224" spans="1:12" x14ac:dyDescent="0.35">
      <c r="A224" s="10">
        <v>189.29</v>
      </c>
      <c r="B224" s="2" t="s">
        <v>13</v>
      </c>
      <c r="C224" t="s">
        <v>84</v>
      </c>
      <c r="D224" t="s">
        <v>27</v>
      </c>
      <c r="E224" t="s">
        <v>70</v>
      </c>
      <c r="F224" s="10">
        <v>1.00915</v>
      </c>
      <c r="G224" s="10">
        <v>-0.17960000000000001</v>
      </c>
      <c r="H224" s="10">
        <v>189.27085</v>
      </c>
      <c r="I224" s="10">
        <v>5.931</v>
      </c>
      <c r="K224" s="10"/>
      <c r="L224" s="10">
        <f t="shared" ref="L224" si="157">(L223+L225)/2</f>
        <v>189.28996212817293</v>
      </c>
    </row>
    <row r="225" spans="1:12" x14ac:dyDescent="0.35">
      <c r="A225" s="10">
        <v>190.81399999999999</v>
      </c>
      <c r="B225" s="2" t="s">
        <v>14</v>
      </c>
      <c r="C225" t="s">
        <v>84</v>
      </c>
      <c r="D225" t="s">
        <v>27</v>
      </c>
      <c r="E225" t="s">
        <v>70</v>
      </c>
      <c r="F225" s="10">
        <v>1.0799000000000001</v>
      </c>
      <c r="G225" s="10">
        <v>-0.1837</v>
      </c>
      <c r="H225" s="10">
        <v>190.79320000000001</v>
      </c>
      <c r="I225" s="10">
        <v>5.931</v>
      </c>
      <c r="K225" s="10">
        <f t="shared" ref="K225" si="158">SQRT((F225-F223)^2+(H225-H223)^2)</f>
        <v>3.0479862762158292</v>
      </c>
      <c r="L225" s="10">
        <f t="shared" ref="L225" si="159">L223+K225</f>
        <v>190.81395526628086</v>
      </c>
    </row>
    <row r="226" spans="1:12" x14ac:dyDescent="0.35">
      <c r="A226" s="10"/>
      <c r="B226" s="2" t="s">
        <v>15</v>
      </c>
      <c r="C226" t="s">
        <v>15</v>
      </c>
      <c r="D226" t="s">
        <v>15</v>
      </c>
      <c r="E226" t="s">
        <v>15</v>
      </c>
      <c r="F226" s="10"/>
      <c r="G226" s="10"/>
      <c r="H226" s="10"/>
      <c r="I226" s="10"/>
      <c r="K226" s="10"/>
      <c r="L226" s="10"/>
    </row>
    <row r="227" spans="1:12" x14ac:dyDescent="0.35">
      <c r="A227" s="10">
        <v>191.11</v>
      </c>
      <c r="B227" s="2" t="s">
        <v>9</v>
      </c>
      <c r="C227" t="s">
        <v>85</v>
      </c>
      <c r="D227" t="s">
        <v>27</v>
      </c>
      <c r="E227" t="s">
        <v>70</v>
      </c>
      <c r="F227" s="10">
        <v>1.0945</v>
      </c>
      <c r="G227" s="10">
        <v>-0.18440000000000001</v>
      </c>
      <c r="H227" s="10">
        <v>191.08860000000001</v>
      </c>
      <c r="I227" s="10">
        <v>5.931</v>
      </c>
      <c r="K227" s="10">
        <f t="shared" ref="K227" si="160">SQRT((F227-F225)^2+(H227-H225)^2)</f>
        <v>0.29576057884714868</v>
      </c>
      <c r="L227" s="10">
        <f t="shared" ref="L227" si="161">L225+K227</f>
        <v>191.10971584512799</v>
      </c>
    </row>
    <row r="228" spans="1:12" x14ac:dyDescent="0.35">
      <c r="A228" s="10">
        <v>192.63399999999999</v>
      </c>
      <c r="B228" s="2" t="s">
        <v>13</v>
      </c>
      <c r="C228" t="s">
        <v>85</v>
      </c>
      <c r="D228" t="s">
        <v>27</v>
      </c>
      <c r="E228" t="s">
        <v>70</v>
      </c>
      <c r="F228" s="10">
        <v>1.17395</v>
      </c>
      <c r="G228" s="10">
        <v>-0.18759999999999999</v>
      </c>
      <c r="H228" s="10">
        <v>192.61054999999999</v>
      </c>
      <c r="I228" s="10">
        <v>5.931</v>
      </c>
      <c r="K228" s="10"/>
      <c r="L228" s="10">
        <f t="shared" ref="L228" si="162">(L227+L229)/2</f>
        <v>192.6337381891243</v>
      </c>
    </row>
    <row r="229" spans="1:12" x14ac:dyDescent="0.35">
      <c r="A229" s="10">
        <v>194.15799999999999</v>
      </c>
      <c r="B229" s="2" t="s">
        <v>14</v>
      </c>
      <c r="C229" t="s">
        <v>85</v>
      </c>
      <c r="D229" t="s">
        <v>27</v>
      </c>
      <c r="E229" t="s">
        <v>70</v>
      </c>
      <c r="F229" s="10">
        <v>1.2534000000000001</v>
      </c>
      <c r="G229" s="10">
        <v>-0.1908</v>
      </c>
      <c r="H229" s="10">
        <v>194.13249999999999</v>
      </c>
      <c r="I229" s="10">
        <v>5.931</v>
      </c>
      <c r="K229" s="10">
        <f t="shared" ref="K229" si="163">SQRT((F229-F227)^2+(H229-H227)^2)</f>
        <v>3.0480446879925949</v>
      </c>
      <c r="L229" s="10">
        <f t="shared" ref="L229" si="164">L227+K229</f>
        <v>194.15776053312058</v>
      </c>
    </row>
    <row r="230" spans="1:12" x14ac:dyDescent="0.35">
      <c r="A230" s="10"/>
      <c r="B230" s="2" t="s">
        <v>15</v>
      </c>
      <c r="C230" t="s">
        <v>15</v>
      </c>
      <c r="D230" t="s">
        <v>15</v>
      </c>
      <c r="E230" t="s">
        <v>15</v>
      </c>
      <c r="F230" s="10"/>
      <c r="G230" s="10"/>
      <c r="H230" s="10"/>
      <c r="I230" s="10"/>
      <c r="K230" s="10"/>
      <c r="L230" s="10"/>
    </row>
    <row r="231" spans="1:12" x14ac:dyDescent="0.35">
      <c r="A231" s="10">
        <v>236.91499999999999</v>
      </c>
      <c r="B231" s="2" t="s">
        <v>9</v>
      </c>
      <c r="C231" t="s">
        <v>86</v>
      </c>
      <c r="D231" t="s">
        <v>11</v>
      </c>
      <c r="E231" t="s">
        <v>35</v>
      </c>
      <c r="F231" s="10">
        <v>3.6034999999999999</v>
      </c>
      <c r="G231" s="10">
        <v>-0.26779999999999998</v>
      </c>
      <c r="H231" s="10">
        <v>236.82509999999999</v>
      </c>
      <c r="I231" s="10">
        <v>0</v>
      </c>
      <c r="K231" s="10">
        <f t="shared" ref="K231" si="165">SQRT((F231-F229)^2+(H231-H229)^2)</f>
        <v>42.757234063606127</v>
      </c>
      <c r="L231" s="10">
        <f t="shared" ref="L231" si="166">L229+K231</f>
        <v>236.9149945967267</v>
      </c>
    </row>
    <row r="232" spans="1:12" x14ac:dyDescent="0.35">
      <c r="A232" s="10">
        <v>236.91499999999999</v>
      </c>
      <c r="B232" s="2" t="s">
        <v>13</v>
      </c>
      <c r="C232" t="s">
        <v>86</v>
      </c>
      <c r="D232" t="s">
        <v>11</v>
      </c>
      <c r="E232" t="s">
        <v>35</v>
      </c>
      <c r="F232" s="10">
        <v>3.6034999999999999</v>
      </c>
      <c r="G232" s="10">
        <v>-0.26779999999999998</v>
      </c>
      <c r="H232" s="10">
        <v>236.82509999999999</v>
      </c>
      <c r="I232" s="10">
        <v>0</v>
      </c>
      <c r="K232" s="10"/>
      <c r="L232" s="10">
        <f t="shared" ref="L232" si="167">(L231+L233)/2</f>
        <v>236.9149945967267</v>
      </c>
    </row>
    <row r="233" spans="1:12" x14ac:dyDescent="0.35">
      <c r="A233" s="10">
        <v>236.91499999999999</v>
      </c>
      <c r="B233" s="2" t="s">
        <v>14</v>
      </c>
      <c r="C233" t="s">
        <v>86</v>
      </c>
      <c r="D233" t="s">
        <v>11</v>
      </c>
      <c r="E233" t="s">
        <v>35</v>
      </c>
      <c r="F233" s="10">
        <v>3.6034999999999999</v>
      </c>
      <c r="G233" s="10">
        <v>-0.26779999999999998</v>
      </c>
      <c r="H233" s="10">
        <v>236.82509999999999</v>
      </c>
      <c r="I233" s="10">
        <v>0</v>
      </c>
      <c r="K233" s="10">
        <f t="shared" ref="K233" si="168">SQRT((F233-F231)^2+(H233-H231)^2)</f>
        <v>0</v>
      </c>
      <c r="L233" s="10">
        <f t="shared" ref="L233" si="169">L231+K233</f>
        <v>236.9149945967267</v>
      </c>
    </row>
    <row r="234" spans="1:12" x14ac:dyDescent="0.35">
      <c r="A234" s="10"/>
      <c r="B234" s="2" t="s">
        <v>15</v>
      </c>
      <c r="C234" t="s">
        <v>15</v>
      </c>
      <c r="D234" t="s">
        <v>15</v>
      </c>
      <c r="E234" t="s">
        <v>15</v>
      </c>
      <c r="F234" s="10"/>
      <c r="G234" s="10"/>
      <c r="H234" s="10"/>
      <c r="I234" s="10"/>
      <c r="K234" s="10"/>
      <c r="L234" s="10"/>
    </row>
    <row r="235" spans="1:12" x14ac:dyDescent="0.35">
      <c r="A235" s="10">
        <v>237.173</v>
      </c>
      <c r="B235" s="2" t="s">
        <v>9</v>
      </c>
      <c r="C235" t="s">
        <v>87</v>
      </c>
      <c r="D235" t="s">
        <v>11</v>
      </c>
      <c r="E235" t="s">
        <v>19</v>
      </c>
      <c r="F235" s="10">
        <v>3.6175999999999999</v>
      </c>
      <c r="G235" s="10">
        <v>-0.26829999999999998</v>
      </c>
      <c r="H235" s="10">
        <v>237.08189999999999</v>
      </c>
      <c r="I235" s="10">
        <v>0</v>
      </c>
      <c r="K235" s="10">
        <f t="shared" ref="K235" si="170">SQRT((F235-F233)^2+(H235-H233)^2)</f>
        <v>0.25718679981678522</v>
      </c>
      <c r="L235" s="10">
        <f t="shared" ref="L235" si="171">L233+K235</f>
        <v>237.17218139654349</v>
      </c>
    </row>
    <row r="236" spans="1:12" x14ac:dyDescent="0.35">
      <c r="A236" s="10">
        <v>237.173</v>
      </c>
      <c r="B236" s="2" t="s">
        <v>13</v>
      </c>
      <c r="C236" t="s">
        <v>87</v>
      </c>
      <c r="D236" t="s">
        <v>11</v>
      </c>
      <c r="E236" t="s">
        <v>19</v>
      </c>
      <c r="F236" s="10">
        <v>3.6175999999999999</v>
      </c>
      <c r="G236" s="10">
        <v>-0.26829999999999998</v>
      </c>
      <c r="H236" s="10">
        <v>237.08189999999999</v>
      </c>
      <c r="I236" s="10">
        <v>0</v>
      </c>
      <c r="K236" s="10"/>
      <c r="L236" s="10">
        <f t="shared" ref="L236" si="172">(L235+L237)/2</f>
        <v>237.17218139654349</v>
      </c>
    </row>
    <row r="237" spans="1:12" x14ac:dyDescent="0.35">
      <c r="A237" s="10">
        <v>237.173</v>
      </c>
      <c r="B237" s="2" t="s">
        <v>14</v>
      </c>
      <c r="C237" t="s">
        <v>87</v>
      </c>
      <c r="D237" t="s">
        <v>11</v>
      </c>
      <c r="E237" t="s">
        <v>19</v>
      </c>
      <c r="F237" s="10">
        <v>3.6175999999999999</v>
      </c>
      <c r="G237" s="10">
        <v>-0.26829999999999998</v>
      </c>
      <c r="H237" s="10">
        <v>237.08189999999999</v>
      </c>
      <c r="I237" s="10">
        <v>0</v>
      </c>
      <c r="K237" s="10">
        <f t="shared" ref="K237" si="173">SQRT((F237-F235)^2+(H237-H235)^2)</f>
        <v>0</v>
      </c>
      <c r="L237" s="10">
        <f t="shared" ref="L237" si="174">L235+K237</f>
        <v>237.17218139654349</v>
      </c>
    </row>
    <row r="238" spans="1:12" x14ac:dyDescent="0.35">
      <c r="A238" s="10"/>
      <c r="B238" s="2" t="s">
        <v>15</v>
      </c>
      <c r="C238" t="s">
        <v>15</v>
      </c>
      <c r="D238" t="s">
        <v>15</v>
      </c>
      <c r="E238" t="s">
        <v>15</v>
      </c>
      <c r="F238" s="10"/>
      <c r="G238" s="10"/>
      <c r="H238" s="10"/>
      <c r="I238" s="10"/>
      <c r="K238" s="10"/>
      <c r="L238" s="10"/>
    </row>
    <row r="239" spans="1:12" x14ac:dyDescent="0.35">
      <c r="A239" s="10">
        <v>237.262</v>
      </c>
      <c r="B239" s="2" t="s">
        <v>9</v>
      </c>
      <c r="C239" t="s">
        <v>88</v>
      </c>
      <c r="D239" t="s">
        <v>11</v>
      </c>
      <c r="E239" t="s">
        <v>17</v>
      </c>
      <c r="F239" s="10">
        <v>3.6225000000000001</v>
      </c>
      <c r="G239" s="10">
        <v>-0.26850000000000002</v>
      </c>
      <c r="H239" s="10">
        <v>237.17060000000001</v>
      </c>
      <c r="I239" s="10">
        <v>0</v>
      </c>
      <c r="K239" s="10">
        <f t="shared" ref="K239" si="175">SQRT((F239-F237)^2+(H239-H237)^2)</f>
        <v>8.8835240755023762E-2</v>
      </c>
      <c r="L239" s="10">
        <f t="shared" ref="L239" si="176">L237+K239</f>
        <v>237.26101663729852</v>
      </c>
    </row>
    <row r="240" spans="1:12" x14ac:dyDescent="0.35">
      <c r="A240" s="10">
        <v>237.262</v>
      </c>
      <c r="B240" s="2" t="s">
        <v>13</v>
      </c>
      <c r="C240" t="s">
        <v>88</v>
      </c>
      <c r="D240" t="s">
        <v>11</v>
      </c>
      <c r="E240" t="s">
        <v>17</v>
      </c>
      <c r="F240" s="10">
        <v>3.6225000000000001</v>
      </c>
      <c r="G240" s="10">
        <v>-0.26850000000000002</v>
      </c>
      <c r="H240" s="10">
        <v>237.17060000000001</v>
      </c>
      <c r="I240" s="10">
        <v>0</v>
      </c>
      <c r="K240" s="10"/>
      <c r="L240" s="10">
        <f t="shared" ref="L240" si="177">(L239+L241)/2</f>
        <v>237.26101663729852</v>
      </c>
    </row>
    <row r="241" spans="1:12" x14ac:dyDescent="0.35">
      <c r="A241" s="10">
        <v>237.262</v>
      </c>
      <c r="B241" s="2" t="s">
        <v>14</v>
      </c>
      <c r="C241" t="s">
        <v>88</v>
      </c>
      <c r="D241" t="s">
        <v>11</v>
      </c>
      <c r="E241" t="s">
        <v>17</v>
      </c>
      <c r="F241" s="10">
        <v>3.6225000000000001</v>
      </c>
      <c r="G241" s="10">
        <v>-0.26850000000000002</v>
      </c>
      <c r="H241" s="10">
        <v>237.17060000000001</v>
      </c>
      <c r="I241" s="10">
        <v>0</v>
      </c>
      <c r="K241" s="10">
        <f t="shared" ref="K241" si="178">SQRT((F241-F239)^2+(H241-H239)^2)</f>
        <v>0</v>
      </c>
      <c r="L241" s="10">
        <f t="shared" ref="L241" si="179">L239+K241</f>
        <v>237.26101663729852</v>
      </c>
    </row>
    <row r="242" spans="1:12" x14ac:dyDescent="0.35">
      <c r="A242" s="10"/>
      <c r="B242" s="2" t="s">
        <v>15</v>
      </c>
      <c r="C242" t="s">
        <v>15</v>
      </c>
      <c r="D242" t="s">
        <v>15</v>
      </c>
      <c r="E242" t="s">
        <v>15</v>
      </c>
      <c r="F242" s="10"/>
      <c r="G242" s="10"/>
      <c r="H242" s="10"/>
      <c r="I242" s="10"/>
      <c r="K242" s="10"/>
      <c r="L242" s="10"/>
    </row>
    <row r="243" spans="1:12" x14ac:dyDescent="0.35">
      <c r="A243" s="10">
        <v>238.38</v>
      </c>
      <c r="B243" s="2" t="s">
        <v>9</v>
      </c>
      <c r="C243" t="s">
        <v>89</v>
      </c>
      <c r="D243" t="s">
        <v>11</v>
      </c>
      <c r="E243" t="s">
        <v>17</v>
      </c>
      <c r="F243" s="10">
        <v>3.6840000000000002</v>
      </c>
      <c r="G243" s="10">
        <v>-0.27050000000000002</v>
      </c>
      <c r="H243" s="10">
        <v>238.2869</v>
      </c>
      <c r="I243" s="10">
        <v>0</v>
      </c>
      <c r="K243" s="10">
        <f t="shared" ref="K243" si="180">SQRT((F243-F241)^2+(H243-H241)^2)</f>
        <v>1.1179928175082297</v>
      </c>
      <c r="L243" s="10">
        <f t="shared" ref="L243" si="181">L241+K243</f>
        <v>238.37900945480675</v>
      </c>
    </row>
    <row r="244" spans="1:12" x14ac:dyDescent="0.35">
      <c r="A244" s="10">
        <v>238.38</v>
      </c>
      <c r="B244" s="2" t="s">
        <v>13</v>
      </c>
      <c r="C244" t="s">
        <v>89</v>
      </c>
      <c r="D244" t="s">
        <v>11</v>
      </c>
      <c r="E244" t="s">
        <v>17</v>
      </c>
      <c r="F244" s="10">
        <v>3.6840000000000002</v>
      </c>
      <c r="G244" s="10">
        <v>-0.27050000000000002</v>
      </c>
      <c r="H244" s="10">
        <v>238.2869</v>
      </c>
      <c r="I244" s="10">
        <v>0</v>
      </c>
      <c r="K244" s="10"/>
      <c r="L244" s="10">
        <f t="shared" ref="L244" si="182">(L243+L245)/2</f>
        <v>238.37900945480675</v>
      </c>
    </row>
    <row r="245" spans="1:12" x14ac:dyDescent="0.35">
      <c r="A245" s="10">
        <v>238.38</v>
      </c>
      <c r="B245" s="2" t="s">
        <v>14</v>
      </c>
      <c r="C245" t="s">
        <v>89</v>
      </c>
      <c r="D245" t="s">
        <v>11</v>
      </c>
      <c r="E245" t="s">
        <v>17</v>
      </c>
      <c r="F245" s="10">
        <v>3.6840000000000002</v>
      </c>
      <c r="G245" s="10">
        <v>-0.27050000000000002</v>
      </c>
      <c r="H245" s="10">
        <v>238.2869</v>
      </c>
      <c r="I245" s="10">
        <v>0</v>
      </c>
      <c r="K245" s="10">
        <f t="shared" ref="K245" si="183">SQRT((F245-F243)^2+(H245-H243)^2)</f>
        <v>0</v>
      </c>
      <c r="L245" s="10">
        <f t="shared" ref="L245" si="184">L243+K245</f>
        <v>238.37900945480675</v>
      </c>
    </row>
    <row r="246" spans="1:12" x14ac:dyDescent="0.35">
      <c r="A246" s="10"/>
      <c r="B246" s="2" t="s">
        <v>15</v>
      </c>
      <c r="C246" t="s">
        <v>15</v>
      </c>
      <c r="D246" t="s">
        <v>15</v>
      </c>
      <c r="E246" t="s">
        <v>15</v>
      </c>
      <c r="F246" s="10"/>
      <c r="G246" s="10"/>
      <c r="H246" s="10"/>
      <c r="I246" s="10"/>
      <c r="K246" s="10"/>
      <c r="L246" s="10"/>
    </row>
    <row r="247" spans="1:12" x14ac:dyDescent="0.35">
      <c r="A247" s="10">
        <v>238.52</v>
      </c>
      <c r="B247" s="2" t="s">
        <v>9</v>
      </c>
      <c r="C247" t="s">
        <v>90</v>
      </c>
      <c r="D247" t="s">
        <v>11</v>
      </c>
      <c r="E247" t="s">
        <v>19</v>
      </c>
      <c r="F247" s="10">
        <v>3.6917</v>
      </c>
      <c r="G247" s="10">
        <v>-0.2707</v>
      </c>
      <c r="H247" s="10">
        <v>238.42670000000001</v>
      </c>
      <c r="I247" s="10">
        <v>0</v>
      </c>
      <c r="K247" s="10">
        <f t="shared" ref="K247" si="185">SQRT((F247-F245)^2+(H247-H245)^2)</f>
        <v>0.14001189235205083</v>
      </c>
      <c r="L247" s="10">
        <f t="shared" ref="L247" si="186">L245+K247</f>
        <v>238.5190213471588</v>
      </c>
    </row>
    <row r="248" spans="1:12" x14ac:dyDescent="0.35">
      <c r="A248" s="10">
        <v>238.52</v>
      </c>
      <c r="B248" s="2" t="s">
        <v>13</v>
      </c>
      <c r="C248" t="s">
        <v>90</v>
      </c>
      <c r="D248" t="s">
        <v>11</v>
      </c>
      <c r="E248" t="s">
        <v>19</v>
      </c>
      <c r="F248" s="10">
        <v>3.6917</v>
      </c>
      <c r="G248" s="10">
        <v>-0.2707</v>
      </c>
      <c r="H248" s="10">
        <v>238.42670000000001</v>
      </c>
      <c r="I248" s="10">
        <v>0</v>
      </c>
      <c r="K248" s="10"/>
      <c r="L248" s="10">
        <f t="shared" ref="L248" si="187">(L247+L249)/2</f>
        <v>238.5190213471588</v>
      </c>
    </row>
    <row r="249" spans="1:12" x14ac:dyDescent="0.35">
      <c r="A249" s="10">
        <v>238.52</v>
      </c>
      <c r="B249" s="2" t="s">
        <v>14</v>
      </c>
      <c r="C249" t="s">
        <v>90</v>
      </c>
      <c r="D249" t="s">
        <v>11</v>
      </c>
      <c r="E249" t="s">
        <v>19</v>
      </c>
      <c r="F249" s="10">
        <v>3.6917</v>
      </c>
      <c r="G249" s="10">
        <v>-0.2707</v>
      </c>
      <c r="H249" s="10">
        <v>238.42670000000001</v>
      </c>
      <c r="I249" s="10">
        <v>0</v>
      </c>
      <c r="K249" s="10">
        <f t="shared" ref="K249" si="188">SQRT((F249-F247)^2+(H249-H247)^2)</f>
        <v>0</v>
      </c>
      <c r="L249" s="10">
        <f t="shared" ref="L249" si="189">L247+K249</f>
        <v>238.5190213471588</v>
      </c>
    </row>
    <row r="250" spans="1:12" x14ac:dyDescent="0.35">
      <c r="A250" s="10"/>
      <c r="B250" s="2" t="s">
        <v>15</v>
      </c>
      <c r="C250" t="s">
        <v>15</v>
      </c>
      <c r="D250" t="s">
        <v>15</v>
      </c>
      <c r="E250" t="s">
        <v>15</v>
      </c>
      <c r="F250" s="10"/>
      <c r="G250" s="10"/>
      <c r="H250" s="10"/>
      <c r="I250" s="10"/>
      <c r="K250" s="10"/>
      <c r="L250" s="10"/>
    </row>
    <row r="251" spans="1:12" x14ac:dyDescent="0.35">
      <c r="A251" s="10">
        <v>238.786</v>
      </c>
      <c r="B251" s="2" t="s">
        <v>9</v>
      </c>
      <c r="C251" t="s">
        <v>91</v>
      </c>
      <c r="D251" t="s">
        <v>11</v>
      </c>
      <c r="E251" t="s">
        <v>12</v>
      </c>
      <c r="F251" s="10">
        <v>3.7063000000000001</v>
      </c>
      <c r="G251" s="10">
        <v>-0.2712</v>
      </c>
      <c r="H251" s="10">
        <v>238.69300000000001</v>
      </c>
      <c r="I251" s="10">
        <v>0</v>
      </c>
      <c r="K251" s="10">
        <f t="shared" ref="K251" si="190">SQRT((F251-F249)^2+(H251-H249)^2)</f>
        <v>0.2666999250093644</v>
      </c>
      <c r="L251" s="10">
        <f t="shared" ref="L251" si="191">L249+K251</f>
        <v>238.78572127216816</v>
      </c>
    </row>
    <row r="252" spans="1:12" x14ac:dyDescent="0.35">
      <c r="A252" s="10">
        <v>238.786</v>
      </c>
      <c r="B252" s="2" t="s">
        <v>13</v>
      </c>
      <c r="C252" t="s">
        <v>91</v>
      </c>
      <c r="D252" t="s">
        <v>11</v>
      </c>
      <c r="E252" t="s">
        <v>12</v>
      </c>
      <c r="F252" s="10">
        <v>3.7063000000000001</v>
      </c>
      <c r="G252" s="10">
        <v>-0.2712</v>
      </c>
      <c r="H252" s="10">
        <v>238.69300000000001</v>
      </c>
      <c r="I252" s="10">
        <v>0</v>
      </c>
      <c r="K252" s="10"/>
      <c r="L252" s="10">
        <f t="shared" ref="L252" si="192">(L251+L253)/2</f>
        <v>238.78572127216816</v>
      </c>
    </row>
    <row r="253" spans="1:12" x14ac:dyDescent="0.35">
      <c r="A253" s="10">
        <v>238.786</v>
      </c>
      <c r="B253" s="2" t="s">
        <v>14</v>
      </c>
      <c r="C253" t="s">
        <v>91</v>
      </c>
      <c r="D253" t="s">
        <v>11</v>
      </c>
      <c r="E253" t="s">
        <v>12</v>
      </c>
      <c r="F253" s="10">
        <v>3.7063000000000001</v>
      </c>
      <c r="G253" s="10">
        <v>-0.2712</v>
      </c>
      <c r="H253" s="10">
        <v>238.69300000000001</v>
      </c>
      <c r="I253" s="10">
        <v>0</v>
      </c>
      <c r="K253" s="10">
        <f t="shared" ref="K253" si="193">SQRT((F253-F251)^2+(H253-H251)^2)</f>
        <v>0</v>
      </c>
      <c r="L253" s="10">
        <f t="shared" ref="L253" si="194">L251+K253</f>
        <v>238.78572127216816</v>
      </c>
    </row>
    <row r="254" spans="1:12" x14ac:dyDescent="0.35">
      <c r="A254" s="10"/>
      <c r="B254" s="2" t="s">
        <v>15</v>
      </c>
      <c r="C254" t="s">
        <v>15</v>
      </c>
      <c r="D254" t="s">
        <v>15</v>
      </c>
      <c r="E254" t="s">
        <v>15</v>
      </c>
      <c r="F254" s="10"/>
      <c r="G254" s="10"/>
      <c r="H254" s="10"/>
      <c r="I254" s="10"/>
      <c r="K254" s="10"/>
      <c r="L254" s="10"/>
    </row>
    <row r="255" spans="1:12" x14ac:dyDescent="0.35">
      <c r="A255" s="10">
        <v>277.26499999999999</v>
      </c>
      <c r="B255" s="2" t="s">
        <v>9</v>
      </c>
      <c r="C255" t="s">
        <v>92</v>
      </c>
      <c r="D255" t="s">
        <v>11</v>
      </c>
      <c r="E255" t="s">
        <v>12</v>
      </c>
      <c r="F255" s="10">
        <v>5.8212999999999999</v>
      </c>
      <c r="G255" s="10">
        <v>-0.34050000000000002</v>
      </c>
      <c r="H255" s="10">
        <v>277.11399999999998</v>
      </c>
      <c r="I255" s="10">
        <v>0</v>
      </c>
      <c r="K255" s="10">
        <f t="shared" ref="K255" si="195">SQRT((F255-F253)^2+(H255-H253)^2)</f>
        <v>38.479169247789088</v>
      </c>
      <c r="L255" s="10">
        <f t="shared" ref="L255" si="196">L253+K255</f>
        <v>277.26489051995725</v>
      </c>
    </row>
    <row r="256" spans="1:12" x14ac:dyDescent="0.35">
      <c r="A256" s="10">
        <v>277.26499999999999</v>
      </c>
      <c r="B256" s="2" t="s">
        <v>13</v>
      </c>
      <c r="C256" t="s">
        <v>92</v>
      </c>
      <c r="D256" t="s">
        <v>11</v>
      </c>
      <c r="E256" t="s">
        <v>12</v>
      </c>
      <c r="F256" s="10">
        <v>5.8212999999999999</v>
      </c>
      <c r="G256" s="10">
        <v>-0.34050000000000002</v>
      </c>
      <c r="H256" s="10">
        <v>277.11399999999998</v>
      </c>
      <c r="I256" s="10">
        <v>0</v>
      </c>
      <c r="K256" s="10"/>
      <c r="L256" s="10">
        <f t="shared" ref="L256" si="197">(L255+L257)/2</f>
        <v>277.26489051995725</v>
      </c>
    </row>
    <row r="257" spans="1:12" x14ac:dyDescent="0.35">
      <c r="A257" s="10">
        <v>277.26499999999999</v>
      </c>
      <c r="B257" s="2" t="s">
        <v>14</v>
      </c>
      <c r="C257" t="s">
        <v>92</v>
      </c>
      <c r="D257" t="s">
        <v>11</v>
      </c>
      <c r="E257" t="s">
        <v>12</v>
      </c>
      <c r="F257" s="10">
        <v>5.8212999999999999</v>
      </c>
      <c r="G257" s="10">
        <v>-0.34050000000000002</v>
      </c>
      <c r="H257" s="10">
        <v>277.11399999999998</v>
      </c>
      <c r="I257" s="10">
        <v>0</v>
      </c>
      <c r="K257" s="10">
        <f t="shared" ref="K257" si="198">SQRT((F257-F255)^2+(H257-H255)^2)</f>
        <v>0</v>
      </c>
      <c r="L257" s="10">
        <f t="shared" ref="L257" si="199">L255+K257</f>
        <v>277.26489051995725</v>
      </c>
    </row>
    <row r="258" spans="1:12" x14ac:dyDescent="0.35">
      <c r="A258" s="10"/>
      <c r="B258" s="2" t="s">
        <v>15</v>
      </c>
      <c r="C258" t="s">
        <v>15</v>
      </c>
      <c r="D258" t="s">
        <v>15</v>
      </c>
      <c r="E258" t="s">
        <v>15</v>
      </c>
      <c r="F258" s="10"/>
      <c r="G258" s="10"/>
      <c r="H258" s="10"/>
      <c r="I258" s="10"/>
      <c r="K258" s="10"/>
      <c r="L258" s="10"/>
    </row>
    <row r="259" spans="1:12" x14ac:dyDescent="0.35">
      <c r="A259" s="10">
        <v>277.62099999999998</v>
      </c>
      <c r="B259" s="2" t="s">
        <v>9</v>
      </c>
      <c r="C259" t="s">
        <v>93</v>
      </c>
      <c r="D259" t="s">
        <v>11</v>
      </c>
      <c r="E259" t="s">
        <v>17</v>
      </c>
      <c r="F259" s="10">
        <v>5.8407999999999998</v>
      </c>
      <c r="G259" s="10">
        <v>-0.3412</v>
      </c>
      <c r="H259" s="10">
        <v>277.46890000000002</v>
      </c>
      <c r="I259" s="10">
        <v>0</v>
      </c>
      <c r="K259" s="10">
        <f t="shared" ref="K259" si="200">SQRT((F259-F257)^2+(H259-H257)^2)</f>
        <v>0.35543531057005401</v>
      </c>
      <c r="L259" s="10">
        <f t="shared" ref="L259" si="201">L257+K259</f>
        <v>277.62032583052729</v>
      </c>
    </row>
    <row r="260" spans="1:12" x14ac:dyDescent="0.35">
      <c r="A260" s="10">
        <v>277.62099999999998</v>
      </c>
      <c r="B260" s="2" t="s">
        <v>13</v>
      </c>
      <c r="C260" t="s">
        <v>93</v>
      </c>
      <c r="D260" t="s">
        <v>11</v>
      </c>
      <c r="E260" t="s">
        <v>17</v>
      </c>
      <c r="F260" s="10">
        <v>5.8407999999999998</v>
      </c>
      <c r="G260" s="10">
        <v>-0.3412</v>
      </c>
      <c r="H260" s="10">
        <v>277.46890000000002</v>
      </c>
      <c r="I260" s="10">
        <v>0</v>
      </c>
      <c r="K260" s="10"/>
      <c r="L260" s="10">
        <f t="shared" ref="L260" si="202">(L259+L261)/2</f>
        <v>277.62032583052729</v>
      </c>
    </row>
    <row r="261" spans="1:12" x14ac:dyDescent="0.35">
      <c r="A261" s="10">
        <v>277.62099999999998</v>
      </c>
      <c r="B261" s="2" t="s">
        <v>14</v>
      </c>
      <c r="C261" t="s">
        <v>93</v>
      </c>
      <c r="D261" t="s">
        <v>11</v>
      </c>
      <c r="E261" t="s">
        <v>17</v>
      </c>
      <c r="F261" s="10">
        <v>5.8407999999999998</v>
      </c>
      <c r="G261" s="10">
        <v>-0.3412</v>
      </c>
      <c r="H261" s="10">
        <v>277.46890000000002</v>
      </c>
      <c r="I261" s="10">
        <v>0</v>
      </c>
      <c r="K261" s="10">
        <f t="shared" ref="K261" si="203">SQRT((F261-F259)^2+(H261-H259)^2)</f>
        <v>0</v>
      </c>
      <c r="L261" s="10">
        <f t="shared" ref="L261" si="204">L259+K261</f>
        <v>277.62032583052729</v>
      </c>
    </row>
    <row r="262" spans="1:12" x14ac:dyDescent="0.35">
      <c r="A262" s="10"/>
      <c r="B262" s="2" t="s">
        <v>15</v>
      </c>
      <c r="C262" t="s">
        <v>15</v>
      </c>
      <c r="D262" t="s">
        <v>15</v>
      </c>
      <c r="E262" t="s">
        <v>15</v>
      </c>
      <c r="F262" s="10"/>
      <c r="G262" s="10"/>
      <c r="H262" s="10"/>
      <c r="I262" s="10"/>
      <c r="K262" s="10"/>
      <c r="L262" s="10"/>
    </row>
    <row r="263" spans="1:12" x14ac:dyDescent="0.35">
      <c r="A263" s="10">
        <v>277.77300000000002</v>
      </c>
      <c r="B263" s="2" t="s">
        <v>9</v>
      </c>
      <c r="C263" t="s">
        <v>94</v>
      </c>
      <c r="D263" t="s">
        <v>66</v>
      </c>
      <c r="E263" t="s">
        <v>95</v>
      </c>
      <c r="F263" s="10">
        <v>5.8491999999999997</v>
      </c>
      <c r="G263" s="10">
        <v>-0.34150000000000003</v>
      </c>
      <c r="H263" s="10">
        <v>277.6207</v>
      </c>
      <c r="I263" s="10">
        <v>0</v>
      </c>
      <c r="K263" s="10">
        <f t="shared" ref="K263" si="205">SQRT((F263-F261)^2+(H263-H261)^2)</f>
        <v>0.15203223342434322</v>
      </c>
      <c r="L263" s="10">
        <f t="shared" ref="L263" si="206">L261+K263</f>
        <v>277.77235806395163</v>
      </c>
    </row>
    <row r="264" spans="1:12" x14ac:dyDescent="0.35">
      <c r="A264" s="10">
        <v>279.29700000000003</v>
      </c>
      <c r="B264" s="2" t="s">
        <v>13</v>
      </c>
      <c r="C264" t="s">
        <v>94</v>
      </c>
      <c r="D264" t="s">
        <v>66</v>
      </c>
      <c r="E264" t="s">
        <v>95</v>
      </c>
      <c r="F264" s="10">
        <v>5.9329499999999999</v>
      </c>
      <c r="G264" s="10">
        <v>-0.34420000000000001</v>
      </c>
      <c r="H264" s="10">
        <v>279.14240000000001</v>
      </c>
      <c r="I264" s="10">
        <v>0</v>
      </c>
      <c r="K264" s="10"/>
      <c r="L264" s="10">
        <f t="shared" ref="L264" si="207">(L263+L265)/2</f>
        <v>279.29636100112072</v>
      </c>
    </row>
    <row r="265" spans="1:12" x14ac:dyDescent="0.35">
      <c r="A265" s="10">
        <v>280.82100000000003</v>
      </c>
      <c r="B265" s="2" t="s">
        <v>14</v>
      </c>
      <c r="C265" t="s">
        <v>94</v>
      </c>
      <c r="D265" t="s">
        <v>66</v>
      </c>
      <c r="E265" t="s">
        <v>95</v>
      </c>
      <c r="F265" s="10">
        <v>6.0167000000000002</v>
      </c>
      <c r="G265" s="10">
        <v>-0.34689999999999999</v>
      </c>
      <c r="H265" s="10">
        <v>280.66410000000002</v>
      </c>
      <c r="I265" s="10">
        <v>0</v>
      </c>
      <c r="K265" s="10">
        <f t="shared" ref="K265" si="208">SQRT((F265-F263)^2+(H265-H263)^2)</f>
        <v>3.048005874338191</v>
      </c>
      <c r="L265" s="10">
        <f t="shared" ref="L265" si="209">L263+K265</f>
        <v>280.8203639382898</v>
      </c>
    </row>
    <row r="266" spans="1:12" x14ac:dyDescent="0.35">
      <c r="A266" s="10"/>
      <c r="B266" s="2" t="s">
        <v>15</v>
      </c>
      <c r="C266" t="s">
        <v>15</v>
      </c>
      <c r="D266" t="s">
        <v>15</v>
      </c>
      <c r="E266" t="s">
        <v>15</v>
      </c>
      <c r="F266" s="10"/>
      <c r="G266" s="10"/>
      <c r="H266" s="10"/>
      <c r="I266" s="10"/>
      <c r="K266" s="10"/>
      <c r="L266" s="10"/>
    </row>
    <row r="267" spans="1:12" x14ac:dyDescent="0.35">
      <c r="A267" s="10">
        <v>281.27800000000002</v>
      </c>
      <c r="B267" s="2" t="s">
        <v>9</v>
      </c>
      <c r="C267" t="s">
        <v>55</v>
      </c>
      <c r="D267" t="s">
        <v>11</v>
      </c>
      <c r="E267" t="s">
        <v>56</v>
      </c>
      <c r="F267" s="10">
        <v>6.0419</v>
      </c>
      <c r="G267" s="10">
        <v>-0.3478</v>
      </c>
      <c r="H267" s="10">
        <v>281.12040000000002</v>
      </c>
      <c r="I267" s="10">
        <v>0</v>
      </c>
      <c r="K267" s="10">
        <f t="shared" ref="K267" si="210">SQRT((F267-F265)^2+(H267-H265)^2)</f>
        <v>0.45699532820369065</v>
      </c>
      <c r="L267" s="10">
        <f t="shared" ref="L267" si="211">L265+K267</f>
        <v>281.27735926649348</v>
      </c>
    </row>
    <row r="268" spans="1:12" x14ac:dyDescent="0.35">
      <c r="A268" s="10">
        <v>281.27800000000002</v>
      </c>
      <c r="B268" s="2" t="s">
        <v>13</v>
      </c>
      <c r="C268" t="s">
        <v>55</v>
      </c>
      <c r="D268" t="s">
        <v>11</v>
      </c>
      <c r="E268" t="s">
        <v>56</v>
      </c>
      <c r="F268" s="10">
        <v>6.0419</v>
      </c>
      <c r="G268" s="10">
        <v>-0.3478</v>
      </c>
      <c r="H268" s="10">
        <v>281.12040000000002</v>
      </c>
      <c r="I268" s="10">
        <v>0</v>
      </c>
      <c r="K268" s="10"/>
      <c r="L268" s="10">
        <f t="shared" ref="L268" si="212">(L267+L269)/2</f>
        <v>281.27735926649348</v>
      </c>
    </row>
    <row r="269" spans="1:12" x14ac:dyDescent="0.35">
      <c r="A269" s="10">
        <v>281.27800000000002</v>
      </c>
      <c r="B269" s="2" t="s">
        <v>14</v>
      </c>
      <c r="C269" t="s">
        <v>55</v>
      </c>
      <c r="D269" t="s">
        <v>11</v>
      </c>
      <c r="E269" t="s">
        <v>56</v>
      </c>
      <c r="F269" s="10">
        <v>6.0419</v>
      </c>
      <c r="G269" s="10">
        <v>-0.3478</v>
      </c>
      <c r="H269" s="10">
        <v>281.12040000000002</v>
      </c>
      <c r="I269" s="10">
        <v>0</v>
      </c>
      <c r="K269" s="10">
        <f t="shared" ref="K269" si="213">SQRT((F269-F267)^2+(H269-H267)^2)</f>
        <v>0</v>
      </c>
      <c r="L269" s="10">
        <f t="shared" ref="L269" si="214">L267+K269</f>
        <v>281.27735926649348</v>
      </c>
    </row>
    <row r="270" spans="1:12" x14ac:dyDescent="0.35">
      <c r="A270" s="10"/>
      <c r="B270" s="2" t="s">
        <v>15</v>
      </c>
      <c r="C270" t="s">
        <v>15</v>
      </c>
      <c r="D270" t="s">
        <v>15</v>
      </c>
      <c r="E270" t="s">
        <v>15</v>
      </c>
      <c r="F270" s="10"/>
      <c r="G270" s="10"/>
      <c r="H270" s="10"/>
      <c r="I270" s="10"/>
      <c r="K270" s="10"/>
      <c r="L270" s="10"/>
    </row>
    <row r="271" spans="1:12" x14ac:dyDescent="0.35">
      <c r="A271" s="10">
        <v>282.80200000000002</v>
      </c>
      <c r="B271" s="2" t="s">
        <v>9</v>
      </c>
      <c r="C271" t="s">
        <v>55</v>
      </c>
      <c r="D271" t="s">
        <v>11</v>
      </c>
      <c r="E271" t="s">
        <v>56</v>
      </c>
      <c r="F271" s="10">
        <v>6.1256000000000004</v>
      </c>
      <c r="G271" s="10">
        <v>-0.35049999999999998</v>
      </c>
      <c r="H271" s="10">
        <v>282.64210000000003</v>
      </c>
      <c r="I271" s="10">
        <v>0</v>
      </c>
      <c r="K271" s="10">
        <f t="shared" ref="K271" si="215">SQRT((F271-F269)^2+(H271-H269)^2)</f>
        <v>1.5240001902887119</v>
      </c>
      <c r="L271" s="10">
        <f t="shared" ref="L271" si="216">L269+K271</f>
        <v>282.80135945678217</v>
      </c>
    </row>
    <row r="272" spans="1:12" x14ac:dyDescent="0.35">
      <c r="A272" s="10">
        <v>282.80200000000002</v>
      </c>
      <c r="B272" s="2" t="s">
        <v>13</v>
      </c>
      <c r="C272" t="s">
        <v>55</v>
      </c>
      <c r="D272" t="s">
        <v>11</v>
      </c>
      <c r="E272" t="s">
        <v>56</v>
      </c>
      <c r="F272" s="10">
        <v>6.1256000000000004</v>
      </c>
      <c r="G272" s="10">
        <v>-0.35049999999999998</v>
      </c>
      <c r="H272" s="10">
        <v>282.64210000000003</v>
      </c>
      <c r="I272" s="10">
        <v>0</v>
      </c>
      <c r="K272" s="10"/>
      <c r="L272" s="10">
        <f t="shared" ref="L272" si="217">(L271+L273)/2</f>
        <v>282.80135945678217</v>
      </c>
    </row>
    <row r="273" spans="1:12" x14ac:dyDescent="0.35">
      <c r="A273" s="10">
        <v>282.80200000000002</v>
      </c>
      <c r="B273" s="2" t="s">
        <v>14</v>
      </c>
      <c r="C273" t="s">
        <v>55</v>
      </c>
      <c r="D273" t="s">
        <v>11</v>
      </c>
      <c r="E273" t="s">
        <v>56</v>
      </c>
      <c r="F273" s="10">
        <v>6.1256000000000004</v>
      </c>
      <c r="G273" s="10">
        <v>-0.35049999999999998</v>
      </c>
      <c r="H273" s="10">
        <v>282.64210000000003</v>
      </c>
      <c r="I273" s="10">
        <v>0</v>
      </c>
      <c r="K273" s="10">
        <f t="shared" ref="K273" si="218">SQRT((F273-F271)^2+(H273-H271)^2)</f>
        <v>0</v>
      </c>
      <c r="L273" s="10">
        <f t="shared" ref="L273" si="219">L271+K273</f>
        <v>282.80135945678217</v>
      </c>
    </row>
    <row r="274" spans="1:12" x14ac:dyDescent="0.35">
      <c r="A274" s="10"/>
      <c r="B274" s="2" t="s">
        <v>15</v>
      </c>
      <c r="C274" t="s">
        <v>15</v>
      </c>
      <c r="D274" t="s">
        <v>15</v>
      </c>
      <c r="E274" t="s">
        <v>15</v>
      </c>
      <c r="F274" s="10"/>
      <c r="G274" s="10"/>
      <c r="H274" s="10"/>
      <c r="I274" s="10"/>
      <c r="K274" s="10"/>
      <c r="L274" s="10"/>
    </row>
    <row r="275" spans="1:12" x14ac:dyDescent="0.35">
      <c r="A275" s="10">
        <v>283.10700000000003</v>
      </c>
      <c r="B275" s="2" t="s">
        <v>9</v>
      </c>
      <c r="C275" t="s">
        <v>400</v>
      </c>
      <c r="D275" t="s">
        <v>11</v>
      </c>
      <c r="E275" t="s">
        <v>24</v>
      </c>
      <c r="F275" s="10">
        <v>6.1424000000000003</v>
      </c>
      <c r="G275" s="10">
        <v>-0.35110000000000002</v>
      </c>
      <c r="H275" s="10">
        <v>282.94639999999998</v>
      </c>
      <c r="I275" s="10">
        <v>0</v>
      </c>
      <c r="K275" s="10">
        <f t="shared" ref="K275" si="220">SQRT((F275-F273)^2+(H275-H273)^2)</f>
        <v>0.30476340003348945</v>
      </c>
      <c r="L275" s="10">
        <f t="shared" ref="L275" si="221">L273+K275</f>
        <v>283.10612285681566</v>
      </c>
    </row>
    <row r="276" spans="1:12" x14ac:dyDescent="0.35">
      <c r="A276" s="10">
        <v>283.10700000000003</v>
      </c>
      <c r="B276" s="2" t="s">
        <v>13</v>
      </c>
      <c r="C276" t="s">
        <v>400</v>
      </c>
      <c r="D276" t="s">
        <v>11</v>
      </c>
      <c r="E276" t="s">
        <v>24</v>
      </c>
      <c r="F276" s="10">
        <v>6.1424000000000003</v>
      </c>
      <c r="G276" s="10">
        <v>-0.35110000000000002</v>
      </c>
      <c r="H276" s="10">
        <v>282.94639999999998</v>
      </c>
      <c r="I276" s="10">
        <v>0</v>
      </c>
      <c r="K276" s="10"/>
      <c r="L276" s="10">
        <f t="shared" ref="L276" si="222">(L275+L277)/2</f>
        <v>283.10612285681566</v>
      </c>
    </row>
    <row r="277" spans="1:12" x14ac:dyDescent="0.35">
      <c r="A277" s="10">
        <v>283.10700000000003</v>
      </c>
      <c r="B277" s="2" t="s">
        <v>14</v>
      </c>
      <c r="C277" t="s">
        <v>400</v>
      </c>
      <c r="D277" t="s">
        <v>11</v>
      </c>
      <c r="E277" t="s">
        <v>24</v>
      </c>
      <c r="F277" s="10">
        <v>6.1424000000000003</v>
      </c>
      <c r="G277" s="10">
        <v>-0.35110000000000002</v>
      </c>
      <c r="H277" s="10">
        <v>282.94639999999998</v>
      </c>
      <c r="I277" s="10">
        <v>0</v>
      </c>
      <c r="K277" s="10">
        <f t="shared" ref="K277" si="223">SQRT((F277-F275)^2+(H277-H275)^2)</f>
        <v>0</v>
      </c>
      <c r="L277" s="10">
        <f t="shared" ref="L277" si="224">L275+K277</f>
        <v>283.10612285681566</v>
      </c>
    </row>
    <row r="278" spans="1:12" x14ac:dyDescent="0.35">
      <c r="A278" s="10"/>
      <c r="B278" s="2" t="s">
        <v>15</v>
      </c>
      <c r="C278" t="s">
        <v>15</v>
      </c>
      <c r="D278" t="s">
        <v>15</v>
      </c>
      <c r="E278" t="s">
        <v>15</v>
      </c>
      <c r="F278" s="10"/>
      <c r="G278" s="10"/>
      <c r="H278" s="10"/>
      <c r="I278" s="10"/>
      <c r="K278" s="10"/>
      <c r="L278" s="10"/>
    </row>
    <row r="279" spans="1:12" x14ac:dyDescent="0.35">
      <c r="A279" s="10">
        <v>283.45</v>
      </c>
      <c r="B279" s="2" t="s">
        <v>9</v>
      </c>
      <c r="C279" t="s">
        <v>97</v>
      </c>
      <c r="D279" t="s">
        <v>66</v>
      </c>
      <c r="E279" t="s">
        <v>95</v>
      </c>
      <c r="F279" s="10">
        <v>6.1612</v>
      </c>
      <c r="G279" s="10">
        <v>-0.35170000000000001</v>
      </c>
      <c r="H279" s="10">
        <v>283.28879999999998</v>
      </c>
      <c r="I279" s="10">
        <v>0</v>
      </c>
      <c r="K279" s="10">
        <f t="shared" ref="K279" si="225">SQRT((F279-F277)^2+(H279-H277)^2)</f>
        <v>0.34291573308904694</v>
      </c>
      <c r="L279" s="10">
        <f t="shared" ref="L279" si="226">L277+K279</f>
        <v>283.44903858990472</v>
      </c>
    </row>
    <row r="280" spans="1:12" x14ac:dyDescent="0.35">
      <c r="A280" s="10">
        <v>284.97399999999999</v>
      </c>
      <c r="B280" s="2" t="s">
        <v>13</v>
      </c>
      <c r="C280" t="s">
        <v>97</v>
      </c>
      <c r="D280" t="s">
        <v>66</v>
      </c>
      <c r="E280" t="s">
        <v>95</v>
      </c>
      <c r="F280" s="10">
        <v>6.2449500000000002</v>
      </c>
      <c r="G280" s="10">
        <v>-0.35444999999999999</v>
      </c>
      <c r="H280" s="10">
        <v>284.81049999999999</v>
      </c>
      <c r="I280" s="10">
        <v>0</v>
      </c>
      <c r="K280" s="10"/>
      <c r="L280" s="10">
        <f t="shared" ref="L280" si="227">(L279+L281)/2</f>
        <v>284.9730415270738</v>
      </c>
    </row>
    <row r="281" spans="1:12" x14ac:dyDescent="0.35">
      <c r="A281" s="10">
        <v>286.49799999999999</v>
      </c>
      <c r="B281" s="2" t="s">
        <v>14</v>
      </c>
      <c r="C281" t="s">
        <v>97</v>
      </c>
      <c r="D281" t="s">
        <v>66</v>
      </c>
      <c r="E281" t="s">
        <v>95</v>
      </c>
      <c r="F281" s="10">
        <v>6.3287000000000004</v>
      </c>
      <c r="G281" s="10">
        <v>-0.35720000000000002</v>
      </c>
      <c r="H281" s="10">
        <v>286.3322</v>
      </c>
      <c r="I281" s="10">
        <v>0</v>
      </c>
      <c r="K281" s="10">
        <f t="shared" ref="K281" si="228">SQRT((F281-F279)^2+(H281-H279)^2)</f>
        <v>3.048005874338191</v>
      </c>
      <c r="L281" s="10">
        <f t="shared" ref="L281" si="229">L279+K281</f>
        <v>286.49704446424289</v>
      </c>
    </row>
    <row r="282" spans="1:12" x14ac:dyDescent="0.35">
      <c r="A282" s="10"/>
      <c r="B282" s="2" t="s">
        <v>15</v>
      </c>
      <c r="C282" t="s">
        <v>15</v>
      </c>
      <c r="D282" t="s">
        <v>15</v>
      </c>
      <c r="E282" t="s">
        <v>15</v>
      </c>
      <c r="F282" s="10"/>
      <c r="G282" s="10"/>
      <c r="H282" s="10"/>
      <c r="I282" s="10"/>
      <c r="K282" s="10"/>
      <c r="L282" s="10"/>
    </row>
    <row r="283" spans="1:12" x14ac:dyDescent="0.35">
      <c r="A283" s="10">
        <v>286.72000000000003</v>
      </c>
      <c r="B283" s="2" t="s">
        <v>9</v>
      </c>
      <c r="C283" t="s">
        <v>98</v>
      </c>
      <c r="D283" t="s">
        <v>11</v>
      </c>
      <c r="E283" t="s">
        <v>19</v>
      </c>
      <c r="F283" s="10">
        <v>6.3410000000000002</v>
      </c>
      <c r="G283" s="10">
        <v>-0.35759999999999997</v>
      </c>
      <c r="H283" s="10">
        <v>286.55410000000001</v>
      </c>
      <c r="I283" s="10">
        <v>0</v>
      </c>
      <c r="K283" s="10">
        <f t="shared" ref="K283" si="230">SQRT((F283-F281)^2+(H283-H281)^2)</f>
        <v>0.22224063534826896</v>
      </c>
      <c r="L283" s="10">
        <f t="shared" ref="L283" si="231">L281+K283</f>
        <v>286.71928509959116</v>
      </c>
    </row>
    <row r="284" spans="1:12" x14ac:dyDescent="0.35">
      <c r="A284" s="10">
        <v>286.72000000000003</v>
      </c>
      <c r="B284" s="2" t="s">
        <v>13</v>
      </c>
      <c r="C284" t="s">
        <v>98</v>
      </c>
      <c r="D284" t="s">
        <v>11</v>
      </c>
      <c r="E284" t="s">
        <v>19</v>
      </c>
      <c r="F284" s="10">
        <v>6.3410000000000002</v>
      </c>
      <c r="G284" s="10">
        <v>-0.35759999999999997</v>
      </c>
      <c r="H284" s="10">
        <v>286.55410000000001</v>
      </c>
      <c r="I284" s="10">
        <v>0</v>
      </c>
      <c r="K284" s="10"/>
      <c r="L284" s="10">
        <f t="shared" ref="L284" si="232">(L283+L285)/2</f>
        <v>286.71928509959116</v>
      </c>
    </row>
    <row r="285" spans="1:12" x14ac:dyDescent="0.35">
      <c r="A285" s="10">
        <v>286.72000000000003</v>
      </c>
      <c r="B285" s="2" t="s">
        <v>14</v>
      </c>
      <c r="C285" t="s">
        <v>98</v>
      </c>
      <c r="D285" t="s">
        <v>11</v>
      </c>
      <c r="E285" t="s">
        <v>19</v>
      </c>
      <c r="F285" s="10">
        <v>6.3410000000000002</v>
      </c>
      <c r="G285" s="10">
        <v>-0.35759999999999997</v>
      </c>
      <c r="H285" s="10">
        <v>286.55410000000001</v>
      </c>
      <c r="I285" s="10">
        <v>0</v>
      </c>
      <c r="K285" s="10">
        <f t="shared" ref="K285" si="233">SQRT((F285-F283)^2+(H285-H283)^2)</f>
        <v>0</v>
      </c>
      <c r="L285" s="10">
        <f t="shared" ref="L285" si="234">L283+K285</f>
        <v>286.71928509959116</v>
      </c>
    </row>
    <row r="286" spans="1:12" x14ac:dyDescent="0.35">
      <c r="A286" s="10"/>
      <c r="B286" s="2" t="s">
        <v>15</v>
      </c>
      <c r="C286" t="s">
        <v>15</v>
      </c>
      <c r="D286" t="s">
        <v>15</v>
      </c>
      <c r="E286" t="s">
        <v>15</v>
      </c>
      <c r="F286" s="10"/>
      <c r="G286" s="10"/>
      <c r="H286" s="10"/>
      <c r="I286" s="10"/>
      <c r="K286" s="10"/>
      <c r="L286" s="10"/>
    </row>
    <row r="287" spans="1:12" x14ac:dyDescent="0.35">
      <c r="A287" s="10">
        <v>286.94200000000001</v>
      </c>
      <c r="B287" s="2" t="s">
        <v>9</v>
      </c>
      <c r="C287" t="s">
        <v>99</v>
      </c>
      <c r="D287" t="s">
        <v>100</v>
      </c>
      <c r="E287" t="s">
        <v>101</v>
      </c>
      <c r="F287" s="10">
        <v>6.3532000000000002</v>
      </c>
      <c r="G287" s="10">
        <v>-0.35799999999999998</v>
      </c>
      <c r="H287" s="10">
        <v>286.77609999999999</v>
      </c>
      <c r="I287" s="10">
        <v>0</v>
      </c>
      <c r="K287" s="10">
        <f t="shared" ref="K287" si="235">SQRT((F287-F285)^2+(H287-H285)^2)</f>
        <v>0.22233497250768064</v>
      </c>
      <c r="L287" s="10">
        <f t="shared" ref="L287" si="236">L285+K287</f>
        <v>286.94162007209883</v>
      </c>
    </row>
    <row r="288" spans="1:12" x14ac:dyDescent="0.35">
      <c r="A288" s="10">
        <v>287.32299999999998</v>
      </c>
      <c r="B288" s="2" t="s">
        <v>13</v>
      </c>
      <c r="C288" t="s">
        <v>99</v>
      </c>
      <c r="D288" t="s">
        <v>100</v>
      </c>
      <c r="E288" t="s">
        <v>101</v>
      </c>
      <c r="F288" s="10">
        <v>6.3741500000000002</v>
      </c>
      <c r="G288" s="10">
        <v>-0.35870000000000002</v>
      </c>
      <c r="H288" s="10">
        <v>287.15649999999999</v>
      </c>
      <c r="I288" s="10">
        <v>0</v>
      </c>
      <c r="K288" s="10"/>
      <c r="L288" s="10">
        <f t="shared" ref="L288" si="237">(L287+L289)/2</f>
        <v>287.32259653134531</v>
      </c>
    </row>
    <row r="289" spans="1:12" x14ac:dyDescent="0.35">
      <c r="A289" s="10">
        <v>287.70400000000001</v>
      </c>
      <c r="B289" s="2" t="s">
        <v>14</v>
      </c>
      <c r="C289" t="s">
        <v>99</v>
      </c>
      <c r="D289" t="s">
        <v>100</v>
      </c>
      <c r="E289" t="s">
        <v>101</v>
      </c>
      <c r="F289" s="10">
        <v>6.3951000000000002</v>
      </c>
      <c r="G289" s="10">
        <v>-0.3594</v>
      </c>
      <c r="H289" s="10">
        <v>287.5369</v>
      </c>
      <c r="I289" s="10">
        <v>0</v>
      </c>
      <c r="K289" s="10">
        <f t="shared" ref="K289" si="238">SQRT((F289-F287)^2+(H289-H287)^2)</f>
        <v>0.76195291849301727</v>
      </c>
      <c r="L289" s="10">
        <f t="shared" ref="L289" si="239">L287+K289</f>
        <v>287.70357299059185</v>
      </c>
    </row>
    <row r="290" spans="1:12" x14ac:dyDescent="0.35">
      <c r="A290" s="10"/>
      <c r="B290" s="2" t="s">
        <v>15</v>
      </c>
      <c r="C290" t="s">
        <v>15</v>
      </c>
      <c r="D290" t="s">
        <v>15</v>
      </c>
      <c r="E290" t="s">
        <v>15</v>
      </c>
      <c r="F290" s="10"/>
      <c r="G290" s="10"/>
      <c r="H290" s="10"/>
      <c r="I290" s="10"/>
      <c r="K290" s="10"/>
      <c r="L290" s="10"/>
    </row>
    <row r="291" spans="1:12" x14ac:dyDescent="0.35">
      <c r="A291" s="10">
        <v>288.142</v>
      </c>
      <c r="B291" s="2" t="s">
        <v>9</v>
      </c>
      <c r="C291" t="s">
        <v>55</v>
      </c>
      <c r="D291" t="s">
        <v>11</v>
      </c>
      <c r="E291" t="s">
        <v>56</v>
      </c>
      <c r="F291" s="10">
        <v>6.4191000000000003</v>
      </c>
      <c r="G291" s="10">
        <v>-0.36009999999999998</v>
      </c>
      <c r="H291" s="10">
        <v>287.9744</v>
      </c>
      <c r="I291" s="10">
        <v>0</v>
      </c>
      <c r="K291" s="10">
        <f t="shared" ref="K291" si="240">SQRT((F291-F289)^2+(H291-H289)^2)</f>
        <v>0.43815779121225268</v>
      </c>
      <c r="L291" s="10">
        <f t="shared" ref="L291" si="241">L289+K291</f>
        <v>288.14173078180409</v>
      </c>
    </row>
    <row r="292" spans="1:12" x14ac:dyDescent="0.35">
      <c r="A292" s="10">
        <v>288.142</v>
      </c>
      <c r="B292" s="2" t="s">
        <v>13</v>
      </c>
      <c r="C292" t="s">
        <v>55</v>
      </c>
      <c r="D292" t="s">
        <v>11</v>
      </c>
      <c r="E292" t="s">
        <v>56</v>
      </c>
      <c r="F292" s="10">
        <v>6.4191000000000003</v>
      </c>
      <c r="G292" s="10">
        <v>-0.36009999999999998</v>
      </c>
      <c r="H292" s="10">
        <v>287.9744</v>
      </c>
      <c r="I292" s="10">
        <v>0</v>
      </c>
      <c r="K292" s="10"/>
      <c r="L292" s="10">
        <f t="shared" ref="L292" si="242">(L291+L293)/2</f>
        <v>288.14173078180409</v>
      </c>
    </row>
    <row r="293" spans="1:12" x14ac:dyDescent="0.35">
      <c r="A293" s="10">
        <v>288.142</v>
      </c>
      <c r="B293" s="2" t="s">
        <v>14</v>
      </c>
      <c r="C293" t="s">
        <v>55</v>
      </c>
      <c r="D293" t="s">
        <v>11</v>
      </c>
      <c r="E293" t="s">
        <v>56</v>
      </c>
      <c r="F293" s="10">
        <v>6.4191000000000003</v>
      </c>
      <c r="G293" s="10">
        <v>-0.36009999999999998</v>
      </c>
      <c r="H293" s="10">
        <v>287.9744</v>
      </c>
      <c r="I293" s="10">
        <v>0</v>
      </c>
      <c r="K293" s="10">
        <f t="shared" ref="K293" si="243">SQRT((F293-F291)^2+(H293-H291)^2)</f>
        <v>0</v>
      </c>
      <c r="L293" s="10">
        <f t="shared" ref="L293" si="244">L291+K293</f>
        <v>288.14173078180409</v>
      </c>
    </row>
    <row r="294" spans="1:12" x14ac:dyDescent="0.35">
      <c r="A294" s="10"/>
      <c r="B294" s="2" t="s">
        <v>15</v>
      </c>
      <c r="C294" t="s">
        <v>15</v>
      </c>
      <c r="D294" t="s">
        <v>15</v>
      </c>
      <c r="E294" t="s">
        <v>15</v>
      </c>
      <c r="F294" s="10"/>
      <c r="G294" s="10"/>
      <c r="H294" s="10"/>
      <c r="I294" s="10"/>
      <c r="K294" s="10"/>
      <c r="L294" s="10"/>
    </row>
    <row r="295" spans="1:12" x14ac:dyDescent="0.35">
      <c r="A295" s="10">
        <v>291.29199999999997</v>
      </c>
      <c r="B295" s="2" t="s">
        <v>9</v>
      </c>
      <c r="C295" t="s">
        <v>55</v>
      </c>
      <c r="D295" t="s">
        <v>11</v>
      </c>
      <c r="E295" t="s">
        <v>56</v>
      </c>
      <c r="F295" s="10">
        <v>6.5922999999999998</v>
      </c>
      <c r="G295" s="10">
        <v>-0.36580000000000001</v>
      </c>
      <c r="H295" s="10">
        <v>291.11930000000001</v>
      </c>
      <c r="I295" s="10">
        <v>0</v>
      </c>
      <c r="K295" s="10">
        <f t="shared" ref="K295" si="245">SQRT((F295-F293)^2+(H295-H293)^2)</f>
        <v>3.1496657362329805</v>
      </c>
      <c r="L295" s="10">
        <f t="shared" ref="L295" si="246">L293+K295</f>
        <v>291.29139651803706</v>
      </c>
    </row>
    <row r="296" spans="1:12" x14ac:dyDescent="0.35">
      <c r="A296" s="10">
        <v>291.29199999999997</v>
      </c>
      <c r="B296" s="2" t="s">
        <v>13</v>
      </c>
      <c r="C296" t="s">
        <v>55</v>
      </c>
      <c r="D296" t="s">
        <v>11</v>
      </c>
      <c r="E296" t="s">
        <v>56</v>
      </c>
      <c r="F296" s="10">
        <v>6.5922999999999998</v>
      </c>
      <c r="G296" s="10">
        <v>-0.36580000000000001</v>
      </c>
      <c r="H296" s="10">
        <v>291.11930000000001</v>
      </c>
      <c r="I296" s="10">
        <v>0</v>
      </c>
      <c r="K296" s="10"/>
      <c r="L296" s="10">
        <f t="shared" ref="L296" si="247">(L295+L297)/2</f>
        <v>291.29139651803706</v>
      </c>
    </row>
    <row r="297" spans="1:12" x14ac:dyDescent="0.35">
      <c r="A297" s="10">
        <v>291.29199999999997</v>
      </c>
      <c r="B297" s="2" t="s">
        <v>14</v>
      </c>
      <c r="C297" t="s">
        <v>55</v>
      </c>
      <c r="D297" t="s">
        <v>11</v>
      </c>
      <c r="E297" t="s">
        <v>56</v>
      </c>
      <c r="F297" s="10">
        <v>6.5922999999999998</v>
      </c>
      <c r="G297" s="10">
        <v>-0.36580000000000001</v>
      </c>
      <c r="H297" s="10">
        <v>291.11930000000001</v>
      </c>
      <c r="I297" s="10">
        <v>0</v>
      </c>
      <c r="K297" s="10">
        <f t="shared" ref="K297" si="248">SQRT((F297-F295)^2+(H297-H295)^2)</f>
        <v>0</v>
      </c>
      <c r="L297" s="10">
        <f t="shared" ref="L297" si="249">L295+K297</f>
        <v>291.29139651803706</v>
      </c>
    </row>
    <row r="298" spans="1:12" x14ac:dyDescent="0.35">
      <c r="A298" s="10"/>
      <c r="B298" s="2" t="s">
        <v>15</v>
      </c>
      <c r="C298" t="s">
        <v>15</v>
      </c>
      <c r="D298" t="s">
        <v>15</v>
      </c>
      <c r="E298" t="s">
        <v>15</v>
      </c>
      <c r="F298" s="10"/>
      <c r="G298" s="10"/>
      <c r="H298" s="10"/>
      <c r="I298" s="10"/>
      <c r="K298" s="10"/>
      <c r="L298" s="10"/>
    </row>
    <row r="299" spans="1:12" x14ac:dyDescent="0.35">
      <c r="A299" s="10">
        <v>291.69799999999998</v>
      </c>
      <c r="B299" s="2" t="s">
        <v>9</v>
      </c>
      <c r="C299" t="s">
        <v>102</v>
      </c>
      <c r="D299" t="s">
        <v>11</v>
      </c>
      <c r="E299" t="s">
        <v>17</v>
      </c>
      <c r="F299" s="10">
        <v>6.6146000000000003</v>
      </c>
      <c r="G299" s="10">
        <v>-0.36649999999999999</v>
      </c>
      <c r="H299" s="10">
        <v>291.52510000000001</v>
      </c>
      <c r="I299" s="10">
        <v>0</v>
      </c>
      <c r="K299" s="10">
        <f t="shared" ref="K299" si="250">SQRT((F299-F297)^2+(H299-H297)^2)</f>
        <v>0.40641226605504838</v>
      </c>
      <c r="L299" s="10">
        <f t="shared" ref="L299" si="251">L297+K299</f>
        <v>291.6978087840921</v>
      </c>
    </row>
    <row r="300" spans="1:12" x14ac:dyDescent="0.35">
      <c r="A300" s="10">
        <v>291.69799999999998</v>
      </c>
      <c r="B300" s="2" t="s">
        <v>13</v>
      </c>
      <c r="C300" t="s">
        <v>102</v>
      </c>
      <c r="D300" t="s">
        <v>11</v>
      </c>
      <c r="E300" t="s">
        <v>17</v>
      </c>
      <c r="F300" s="10">
        <v>6.6146000000000003</v>
      </c>
      <c r="G300" s="10">
        <v>-0.36649999999999999</v>
      </c>
      <c r="H300" s="10">
        <v>291.52510000000001</v>
      </c>
      <c r="I300" s="10">
        <v>0</v>
      </c>
      <c r="K300" s="10"/>
      <c r="L300" s="10">
        <f t="shared" ref="L300" si="252">(L299+L301)/2</f>
        <v>291.6978087840921</v>
      </c>
    </row>
    <row r="301" spans="1:12" x14ac:dyDescent="0.35">
      <c r="A301" s="10">
        <v>291.69799999999998</v>
      </c>
      <c r="B301" s="2" t="s">
        <v>14</v>
      </c>
      <c r="C301" t="s">
        <v>102</v>
      </c>
      <c r="D301" t="s">
        <v>11</v>
      </c>
      <c r="E301" t="s">
        <v>17</v>
      </c>
      <c r="F301" s="10">
        <v>6.6146000000000003</v>
      </c>
      <c r="G301" s="10">
        <v>-0.36649999999999999</v>
      </c>
      <c r="H301" s="10">
        <v>291.52510000000001</v>
      </c>
      <c r="I301" s="10">
        <v>0</v>
      </c>
      <c r="K301" s="10">
        <f t="shared" ref="K301" si="253">SQRT((F301-F299)^2+(H301-H299)^2)</f>
        <v>0</v>
      </c>
      <c r="L301" s="10">
        <f t="shared" ref="L301" si="254">L299+K301</f>
        <v>291.6978087840921</v>
      </c>
    </row>
    <row r="302" spans="1:12" x14ac:dyDescent="0.35">
      <c r="A302" s="10"/>
      <c r="B302" s="2" t="s">
        <v>15</v>
      </c>
      <c r="C302" t="s">
        <v>15</v>
      </c>
      <c r="D302" t="s">
        <v>15</v>
      </c>
      <c r="E302" t="s">
        <v>15</v>
      </c>
      <c r="F302" s="10"/>
      <c r="G302" s="10"/>
      <c r="H302" s="10"/>
      <c r="I302" s="10"/>
      <c r="K302" s="10"/>
      <c r="L302" s="10"/>
    </row>
    <row r="303" spans="1:12" x14ac:dyDescent="0.35">
      <c r="A303" s="10">
        <v>295.02499999999998</v>
      </c>
      <c r="B303" s="2" t="s">
        <v>9</v>
      </c>
      <c r="C303" t="s">
        <v>103</v>
      </c>
      <c r="D303" t="s">
        <v>11</v>
      </c>
      <c r="E303" t="s">
        <v>12</v>
      </c>
      <c r="F303" s="10">
        <v>6.7975000000000003</v>
      </c>
      <c r="G303" s="10">
        <v>-0.3725</v>
      </c>
      <c r="H303" s="10">
        <v>294.84699999999998</v>
      </c>
      <c r="I303" s="10">
        <v>0</v>
      </c>
      <c r="K303" s="10">
        <f t="shared" ref="K303" si="255">SQRT((F303-F301)^2+(H303-H301)^2)</f>
        <v>3.3269313218038943</v>
      </c>
      <c r="L303" s="10">
        <f t="shared" ref="L303" si="256">L301+K303</f>
        <v>295.024740105896</v>
      </c>
    </row>
    <row r="304" spans="1:12" x14ac:dyDescent="0.35">
      <c r="A304" s="10">
        <v>295.02499999999998</v>
      </c>
      <c r="B304" s="2" t="s">
        <v>13</v>
      </c>
      <c r="C304" t="s">
        <v>103</v>
      </c>
      <c r="D304" t="s">
        <v>11</v>
      </c>
      <c r="E304" t="s">
        <v>12</v>
      </c>
      <c r="F304" s="10">
        <v>6.7975000000000003</v>
      </c>
      <c r="G304" s="10">
        <v>-0.3725</v>
      </c>
      <c r="H304" s="10">
        <v>294.84699999999998</v>
      </c>
      <c r="I304" s="10">
        <v>0</v>
      </c>
      <c r="K304" s="10"/>
      <c r="L304" s="10">
        <f t="shared" ref="L304" si="257">(L303+L305)/2</f>
        <v>295.024740105896</v>
      </c>
    </row>
    <row r="305" spans="1:12" x14ac:dyDescent="0.35">
      <c r="A305" s="10">
        <v>295.02499999999998</v>
      </c>
      <c r="B305" s="2" t="s">
        <v>14</v>
      </c>
      <c r="C305" t="s">
        <v>103</v>
      </c>
      <c r="D305" t="s">
        <v>11</v>
      </c>
      <c r="E305" t="s">
        <v>12</v>
      </c>
      <c r="F305" s="10">
        <v>6.7975000000000003</v>
      </c>
      <c r="G305" s="10">
        <v>-0.3725</v>
      </c>
      <c r="H305" s="10">
        <v>294.84699999999998</v>
      </c>
      <c r="I305" s="10">
        <v>0</v>
      </c>
      <c r="K305" s="10">
        <f t="shared" ref="K305" si="258">SQRT((F305-F303)^2+(H305-H303)^2)</f>
        <v>0</v>
      </c>
      <c r="L305" s="10">
        <f t="shared" ref="L305" si="259">L303+K305</f>
        <v>295.024740105896</v>
      </c>
    </row>
    <row r="306" spans="1:12" x14ac:dyDescent="0.35">
      <c r="A306" s="10"/>
      <c r="B306" s="2" t="s">
        <v>15</v>
      </c>
      <c r="C306" t="s">
        <v>15</v>
      </c>
      <c r="D306" t="s">
        <v>15</v>
      </c>
      <c r="E306" t="s">
        <v>15</v>
      </c>
      <c r="F306" s="10"/>
      <c r="G306" s="10"/>
      <c r="H306" s="10"/>
      <c r="I306" s="10"/>
      <c r="K306" s="10"/>
      <c r="L306" s="10"/>
    </row>
    <row r="307" spans="1:12" x14ac:dyDescent="0.35">
      <c r="A307" s="10">
        <v>333.029</v>
      </c>
      <c r="B307" s="2" t="s">
        <v>9</v>
      </c>
      <c r="C307" t="s">
        <v>104</v>
      </c>
      <c r="D307" t="s">
        <v>11</v>
      </c>
      <c r="E307" t="s">
        <v>19</v>
      </c>
      <c r="F307" s="10">
        <v>8.8863000000000003</v>
      </c>
      <c r="G307" s="10">
        <v>-0.441</v>
      </c>
      <c r="H307" s="10">
        <v>332.79340000000002</v>
      </c>
      <c r="I307" s="10">
        <v>0</v>
      </c>
      <c r="K307" s="10">
        <f t="shared" ref="K307" si="260">SQRT((F307-F305)^2+(H307-H305)^2)</f>
        <v>38.00384662636143</v>
      </c>
      <c r="L307" s="10">
        <f t="shared" ref="L307" si="261">L305+K307</f>
        <v>333.02858673225745</v>
      </c>
    </row>
    <row r="308" spans="1:12" x14ac:dyDescent="0.35">
      <c r="A308" s="10">
        <v>333.029</v>
      </c>
      <c r="B308" s="2" t="s">
        <v>13</v>
      </c>
      <c r="C308" t="s">
        <v>104</v>
      </c>
      <c r="D308" t="s">
        <v>11</v>
      </c>
      <c r="E308" t="s">
        <v>19</v>
      </c>
      <c r="F308" s="10">
        <v>8.8863000000000003</v>
      </c>
      <c r="G308" s="10">
        <v>-0.441</v>
      </c>
      <c r="H308" s="10">
        <v>332.79340000000002</v>
      </c>
      <c r="I308" s="10">
        <v>0</v>
      </c>
      <c r="K308" s="10"/>
      <c r="L308" s="10">
        <f t="shared" ref="L308" si="262">(L307+L309)/2</f>
        <v>333.02858673225745</v>
      </c>
    </row>
    <row r="309" spans="1:12" x14ac:dyDescent="0.35">
      <c r="A309" s="10">
        <v>333.029</v>
      </c>
      <c r="B309" s="2" t="s">
        <v>14</v>
      </c>
      <c r="C309" t="s">
        <v>104</v>
      </c>
      <c r="D309" t="s">
        <v>11</v>
      </c>
      <c r="E309" t="s">
        <v>19</v>
      </c>
      <c r="F309" s="10">
        <v>8.8863000000000003</v>
      </c>
      <c r="G309" s="10">
        <v>-0.441</v>
      </c>
      <c r="H309" s="10">
        <v>332.79340000000002</v>
      </c>
      <c r="I309" s="10">
        <v>0</v>
      </c>
      <c r="K309" s="10">
        <f t="shared" ref="K309" si="263">SQRT((F309-F307)^2+(H309-H307)^2)</f>
        <v>0</v>
      </c>
      <c r="L309" s="10">
        <f t="shared" ref="L309" si="264">L307+K309</f>
        <v>333.02858673225745</v>
      </c>
    </row>
    <row r="310" spans="1:12" x14ac:dyDescent="0.35">
      <c r="A310" s="10"/>
      <c r="B310" s="2" t="s">
        <v>15</v>
      </c>
      <c r="C310" t="s">
        <v>15</v>
      </c>
      <c r="D310" t="s">
        <v>15</v>
      </c>
      <c r="E310" t="s">
        <v>15</v>
      </c>
      <c r="F310" s="10"/>
      <c r="G310" s="10"/>
      <c r="H310" s="10"/>
      <c r="I310" s="10"/>
      <c r="K310" s="10"/>
      <c r="L310" s="10"/>
    </row>
    <row r="311" spans="1:12" x14ac:dyDescent="0.35">
      <c r="A311" s="10">
        <v>333.11799999999999</v>
      </c>
      <c r="B311" s="2" t="s">
        <v>9</v>
      </c>
      <c r="C311" t="s">
        <v>105</v>
      </c>
      <c r="D311" t="s">
        <v>11</v>
      </c>
      <c r="E311" t="s">
        <v>17</v>
      </c>
      <c r="F311" s="10">
        <v>8.8911999999999995</v>
      </c>
      <c r="G311" s="10">
        <v>-0.44119999999999998</v>
      </c>
      <c r="H311" s="10">
        <v>332.88209999999998</v>
      </c>
      <c r="I311" s="10">
        <v>0</v>
      </c>
      <c r="K311" s="10">
        <f t="shared" ref="K311" si="265">SQRT((F311-F309)^2+(H311-H309)^2)</f>
        <v>8.8835240754966946E-2</v>
      </c>
      <c r="L311" s="10">
        <f t="shared" ref="L311" si="266">L309+K311</f>
        <v>333.11742197301243</v>
      </c>
    </row>
    <row r="312" spans="1:12" x14ac:dyDescent="0.35">
      <c r="A312" s="10">
        <v>333.11799999999999</v>
      </c>
      <c r="B312" s="2" t="s">
        <v>13</v>
      </c>
      <c r="C312" t="s">
        <v>105</v>
      </c>
      <c r="D312" t="s">
        <v>11</v>
      </c>
      <c r="E312" t="s">
        <v>17</v>
      </c>
      <c r="F312" s="10">
        <v>8.8911999999999995</v>
      </c>
      <c r="G312" s="10">
        <v>-0.44119999999999998</v>
      </c>
      <c r="H312" s="10">
        <v>332.88209999999998</v>
      </c>
      <c r="I312" s="10">
        <v>0</v>
      </c>
      <c r="K312" s="10"/>
      <c r="L312" s="10">
        <f t="shared" ref="L312" si="267">(L311+L313)/2</f>
        <v>333.11742197301243</v>
      </c>
    </row>
    <row r="313" spans="1:12" x14ac:dyDescent="0.35">
      <c r="A313" s="10">
        <v>333.11799999999999</v>
      </c>
      <c r="B313" s="2" t="s">
        <v>14</v>
      </c>
      <c r="C313" t="s">
        <v>105</v>
      </c>
      <c r="D313" t="s">
        <v>11</v>
      </c>
      <c r="E313" t="s">
        <v>17</v>
      </c>
      <c r="F313" s="10">
        <v>8.8911999999999995</v>
      </c>
      <c r="G313" s="10">
        <v>-0.44119999999999998</v>
      </c>
      <c r="H313" s="10">
        <v>332.88209999999998</v>
      </c>
      <c r="I313" s="10">
        <v>0</v>
      </c>
      <c r="K313" s="10">
        <f t="shared" ref="K313" si="268">SQRT((F313-F311)^2+(H313-H311)^2)</f>
        <v>0</v>
      </c>
      <c r="L313" s="10">
        <f t="shared" ref="L313" si="269">L311+K313</f>
        <v>333.11742197301243</v>
      </c>
    </row>
    <row r="314" spans="1:12" x14ac:dyDescent="0.35">
      <c r="A314" s="10"/>
      <c r="B314" s="2" t="s">
        <v>15</v>
      </c>
      <c r="C314" t="s">
        <v>15</v>
      </c>
      <c r="D314" t="s">
        <v>15</v>
      </c>
      <c r="E314" t="s">
        <v>15</v>
      </c>
      <c r="F314" s="10"/>
      <c r="G314" s="10"/>
      <c r="H314" s="10"/>
      <c r="I314" s="10"/>
      <c r="K314" s="10"/>
      <c r="L314" s="10"/>
    </row>
    <row r="315" spans="1:12" x14ac:dyDescent="0.35">
      <c r="A315" s="10">
        <v>334.23599999999999</v>
      </c>
      <c r="B315" s="2" t="s">
        <v>9</v>
      </c>
      <c r="C315" t="s">
        <v>106</v>
      </c>
      <c r="D315" t="s">
        <v>11</v>
      </c>
      <c r="E315" t="s">
        <v>17</v>
      </c>
      <c r="F315" s="10">
        <v>8.9526000000000003</v>
      </c>
      <c r="G315" s="10">
        <v>-0.44319999999999998</v>
      </c>
      <c r="H315" s="10">
        <v>333.9984</v>
      </c>
      <c r="I315" s="10">
        <v>0</v>
      </c>
      <c r="K315" s="10">
        <f t="shared" ref="K315" si="270">SQRT((F315-F313)^2+(H315-H313)^2)</f>
        <v>1.1179873210372528</v>
      </c>
      <c r="L315" s="10">
        <f t="shared" ref="L315" si="271">L313+K315</f>
        <v>334.2354092940497</v>
      </c>
    </row>
    <row r="316" spans="1:12" x14ac:dyDescent="0.35">
      <c r="A316" s="10">
        <v>334.23599999999999</v>
      </c>
      <c r="B316" s="2" t="s">
        <v>13</v>
      </c>
      <c r="C316" t="s">
        <v>106</v>
      </c>
      <c r="D316" t="s">
        <v>11</v>
      </c>
      <c r="E316" t="s">
        <v>17</v>
      </c>
      <c r="F316" s="10">
        <v>8.9526000000000003</v>
      </c>
      <c r="G316" s="10">
        <v>-0.44319999999999998</v>
      </c>
      <c r="H316" s="10">
        <v>333.9984</v>
      </c>
      <c r="I316" s="10">
        <v>0</v>
      </c>
      <c r="K316" s="10"/>
      <c r="L316" s="10">
        <f t="shared" ref="L316" si="272">(L315+L317)/2</f>
        <v>334.2354092940497</v>
      </c>
    </row>
    <row r="317" spans="1:12" x14ac:dyDescent="0.35">
      <c r="A317" s="10">
        <v>334.23599999999999</v>
      </c>
      <c r="B317" s="2" t="s">
        <v>14</v>
      </c>
      <c r="C317" t="s">
        <v>106</v>
      </c>
      <c r="D317" t="s">
        <v>11</v>
      </c>
      <c r="E317" t="s">
        <v>17</v>
      </c>
      <c r="F317" s="10">
        <v>8.9526000000000003</v>
      </c>
      <c r="G317" s="10">
        <v>-0.44319999999999998</v>
      </c>
      <c r="H317" s="10">
        <v>333.9984</v>
      </c>
      <c r="I317" s="10">
        <v>0</v>
      </c>
      <c r="K317" s="10">
        <f t="shared" ref="K317" si="273">SQRT((F317-F315)^2+(H317-H315)^2)</f>
        <v>0</v>
      </c>
      <c r="L317" s="10">
        <f t="shared" ref="L317" si="274">L315+K317</f>
        <v>334.2354092940497</v>
      </c>
    </row>
    <row r="318" spans="1:12" x14ac:dyDescent="0.35">
      <c r="A318" s="10"/>
      <c r="B318" s="2" t="s">
        <v>15</v>
      </c>
      <c r="C318" t="s">
        <v>15</v>
      </c>
      <c r="D318" t="s">
        <v>15</v>
      </c>
      <c r="E318" t="s">
        <v>15</v>
      </c>
      <c r="F318" s="10"/>
      <c r="G318" s="10"/>
      <c r="H318" s="10"/>
      <c r="I318" s="10"/>
      <c r="K318" s="10"/>
      <c r="L318" s="10"/>
    </row>
    <row r="319" spans="1:12" x14ac:dyDescent="0.35">
      <c r="A319" s="10">
        <v>334.37599999999998</v>
      </c>
      <c r="B319" s="2" t="s">
        <v>9</v>
      </c>
      <c r="C319" t="s">
        <v>107</v>
      </c>
      <c r="D319" t="s">
        <v>11</v>
      </c>
      <c r="E319" t="s">
        <v>19</v>
      </c>
      <c r="F319" s="10">
        <v>8.9603000000000002</v>
      </c>
      <c r="G319" s="10">
        <v>-0.44350000000000001</v>
      </c>
      <c r="H319" s="10">
        <v>334.13819999999998</v>
      </c>
      <c r="I319" s="10">
        <v>0</v>
      </c>
      <c r="K319" s="10">
        <f t="shared" ref="K319" si="275">SQRT((F319-F317)^2+(H319-H317)^2)</f>
        <v>0.14001189235202247</v>
      </c>
      <c r="L319" s="10">
        <f t="shared" ref="L319" si="276">L317+K319</f>
        <v>334.37542118640175</v>
      </c>
    </row>
    <row r="320" spans="1:12" x14ac:dyDescent="0.35">
      <c r="A320" s="10">
        <v>334.37599999999998</v>
      </c>
      <c r="B320" s="2" t="s">
        <v>13</v>
      </c>
      <c r="C320" t="s">
        <v>107</v>
      </c>
      <c r="D320" t="s">
        <v>11</v>
      </c>
      <c r="E320" t="s">
        <v>19</v>
      </c>
      <c r="F320" s="10">
        <v>8.9603000000000002</v>
      </c>
      <c r="G320" s="10">
        <v>-0.44350000000000001</v>
      </c>
      <c r="H320" s="10">
        <v>334.13819999999998</v>
      </c>
      <c r="I320" s="10">
        <v>0</v>
      </c>
      <c r="K320" s="10"/>
      <c r="L320" s="10">
        <f t="shared" ref="L320" si="277">(L319+L321)/2</f>
        <v>334.37542118640175</v>
      </c>
    </row>
    <row r="321" spans="1:12" x14ac:dyDescent="0.35">
      <c r="A321" s="10">
        <v>334.37599999999998</v>
      </c>
      <c r="B321" s="2" t="s">
        <v>14</v>
      </c>
      <c r="C321" t="s">
        <v>107</v>
      </c>
      <c r="D321" t="s">
        <v>11</v>
      </c>
      <c r="E321" t="s">
        <v>19</v>
      </c>
      <c r="F321" s="10">
        <v>8.9603000000000002</v>
      </c>
      <c r="G321" s="10">
        <v>-0.44350000000000001</v>
      </c>
      <c r="H321" s="10">
        <v>334.13819999999998</v>
      </c>
      <c r="I321" s="10">
        <v>0</v>
      </c>
      <c r="K321" s="10">
        <f t="shared" ref="K321" si="278">SQRT((F321-F319)^2+(H321-H319)^2)</f>
        <v>0</v>
      </c>
      <c r="L321" s="10">
        <f t="shared" ref="L321" si="279">L319+K321</f>
        <v>334.37542118640175</v>
      </c>
    </row>
    <row r="322" spans="1:12" x14ac:dyDescent="0.35">
      <c r="A322" s="10"/>
      <c r="B322" s="2" t="s">
        <v>15</v>
      </c>
      <c r="C322" t="s">
        <v>15</v>
      </c>
      <c r="D322" t="s">
        <v>15</v>
      </c>
      <c r="E322" t="s">
        <v>15</v>
      </c>
      <c r="F322" s="10"/>
      <c r="G322" s="10"/>
      <c r="H322" s="10"/>
      <c r="I322" s="10"/>
      <c r="K322" s="10"/>
      <c r="L322" s="10"/>
    </row>
    <row r="323" spans="1:12" x14ac:dyDescent="0.35">
      <c r="A323" s="10">
        <v>349.18299999999999</v>
      </c>
      <c r="B323" s="2" t="s">
        <v>9</v>
      </c>
      <c r="C323" t="s">
        <v>108</v>
      </c>
      <c r="D323" t="s">
        <v>11</v>
      </c>
      <c r="E323" t="s">
        <v>12</v>
      </c>
      <c r="F323" s="10">
        <v>9.7742000000000004</v>
      </c>
      <c r="G323" s="10">
        <v>-0.47010000000000002</v>
      </c>
      <c r="H323" s="10">
        <v>348.92250000000001</v>
      </c>
      <c r="I323" s="10">
        <v>0</v>
      </c>
      <c r="K323" s="10">
        <f t="shared" ref="K323" si="280">SQRT((F323-F321)^2+(H323-H321)^2)</f>
        <v>14.806686317336533</v>
      </c>
      <c r="L323" s="10">
        <f t="shared" ref="L323" si="281">L321+K323</f>
        <v>349.18210750373828</v>
      </c>
    </row>
    <row r="324" spans="1:12" x14ac:dyDescent="0.35">
      <c r="A324" s="10">
        <v>349.18299999999999</v>
      </c>
      <c r="B324" s="2" t="s">
        <v>13</v>
      </c>
      <c r="C324" t="s">
        <v>108</v>
      </c>
      <c r="D324" t="s">
        <v>11</v>
      </c>
      <c r="E324" t="s">
        <v>12</v>
      </c>
      <c r="F324" s="10">
        <v>9.7742000000000004</v>
      </c>
      <c r="G324" s="10">
        <v>-0.47010000000000002</v>
      </c>
      <c r="H324" s="10">
        <v>348.92250000000001</v>
      </c>
      <c r="I324" s="10">
        <v>0</v>
      </c>
      <c r="K324" s="10"/>
      <c r="L324" s="10">
        <f t="shared" ref="L324" si="282">(L323+L325)/2</f>
        <v>349.18210750373828</v>
      </c>
    </row>
    <row r="325" spans="1:12" x14ac:dyDescent="0.35">
      <c r="A325" s="10">
        <v>349.18299999999999</v>
      </c>
      <c r="B325" s="2" t="s">
        <v>14</v>
      </c>
      <c r="C325" t="s">
        <v>108</v>
      </c>
      <c r="D325" t="s">
        <v>11</v>
      </c>
      <c r="E325" t="s">
        <v>12</v>
      </c>
      <c r="F325" s="10">
        <v>9.7742000000000004</v>
      </c>
      <c r="G325" s="10">
        <v>-0.47010000000000002</v>
      </c>
      <c r="H325" s="10">
        <v>348.92250000000001</v>
      </c>
      <c r="I325" s="10">
        <v>0</v>
      </c>
      <c r="K325" s="10">
        <f t="shared" ref="K325" si="283">SQRT((F325-F323)^2+(H325-H323)^2)</f>
        <v>0</v>
      </c>
      <c r="L325" s="10">
        <f t="shared" ref="L325" si="284">L323+K325</f>
        <v>349.18210750373828</v>
      </c>
    </row>
    <row r="326" spans="1:12" x14ac:dyDescent="0.35">
      <c r="A326" s="10"/>
      <c r="B326" s="2" t="s">
        <v>15</v>
      </c>
      <c r="C326" t="s">
        <v>15</v>
      </c>
      <c r="D326" t="s">
        <v>15</v>
      </c>
      <c r="E326" t="s">
        <v>15</v>
      </c>
      <c r="F326" s="10"/>
      <c r="G326" s="10"/>
      <c r="H326" s="10"/>
      <c r="I326" s="10"/>
      <c r="K326" s="10"/>
      <c r="L326" s="10"/>
    </row>
    <row r="327" spans="1:12" x14ac:dyDescent="0.35">
      <c r="A327" s="10">
        <v>349.53199999999998</v>
      </c>
      <c r="B327" s="2" t="s">
        <v>9</v>
      </c>
      <c r="C327" t="s">
        <v>109</v>
      </c>
      <c r="D327" t="s">
        <v>11</v>
      </c>
      <c r="E327" t="s">
        <v>17</v>
      </c>
      <c r="F327" s="10">
        <v>9.7934000000000001</v>
      </c>
      <c r="G327" s="10">
        <v>-0.4708</v>
      </c>
      <c r="H327" s="10">
        <v>349.2713</v>
      </c>
      <c r="I327" s="10">
        <v>0</v>
      </c>
      <c r="K327" s="10">
        <f t="shared" ref="K327" si="285">SQRT((F327-F325)^2+(H327-H325)^2)</f>
        <v>0.34932804067235723</v>
      </c>
      <c r="L327" s="10">
        <f t="shared" ref="L327" si="286">L325+K327</f>
        <v>349.53143554441061</v>
      </c>
    </row>
    <row r="328" spans="1:12" x14ac:dyDescent="0.35">
      <c r="A328" s="10">
        <v>349.53199999999998</v>
      </c>
      <c r="B328" s="2" t="s">
        <v>13</v>
      </c>
      <c r="C328" t="s">
        <v>109</v>
      </c>
      <c r="D328" t="s">
        <v>11</v>
      </c>
      <c r="E328" t="s">
        <v>17</v>
      </c>
      <c r="F328" s="10">
        <v>9.7934000000000001</v>
      </c>
      <c r="G328" s="10">
        <v>-0.4708</v>
      </c>
      <c r="H328" s="10">
        <v>349.2713</v>
      </c>
      <c r="I328" s="10">
        <v>0</v>
      </c>
      <c r="K328" s="10"/>
      <c r="L328" s="10">
        <f t="shared" ref="L328" si="287">(L327+L329)/2</f>
        <v>349.53143554441061</v>
      </c>
    </row>
    <row r="329" spans="1:12" x14ac:dyDescent="0.35">
      <c r="A329" s="10">
        <v>349.53199999999998</v>
      </c>
      <c r="B329" s="2" t="s">
        <v>14</v>
      </c>
      <c r="C329" t="s">
        <v>109</v>
      </c>
      <c r="D329" t="s">
        <v>11</v>
      </c>
      <c r="E329" t="s">
        <v>17</v>
      </c>
      <c r="F329" s="10">
        <v>9.7934000000000001</v>
      </c>
      <c r="G329" s="10">
        <v>-0.4708</v>
      </c>
      <c r="H329" s="10">
        <v>349.2713</v>
      </c>
      <c r="I329" s="10">
        <v>0</v>
      </c>
      <c r="K329" s="10">
        <f t="shared" ref="K329" si="288">SQRT((F329-F327)^2+(H329-H327)^2)</f>
        <v>0</v>
      </c>
      <c r="L329" s="10">
        <f t="shared" ref="L329" si="289">L327+K329</f>
        <v>349.53143554441061</v>
      </c>
    </row>
    <row r="330" spans="1:12" x14ac:dyDescent="0.35">
      <c r="A330" s="10"/>
      <c r="B330" s="2" t="s">
        <v>15</v>
      </c>
      <c r="C330" t="s">
        <v>15</v>
      </c>
      <c r="D330" t="s">
        <v>15</v>
      </c>
      <c r="E330" t="s">
        <v>15</v>
      </c>
      <c r="F330" s="10"/>
      <c r="G330" s="10"/>
      <c r="H330" s="10"/>
      <c r="I330" s="10"/>
      <c r="K330" s="10"/>
      <c r="L330" s="10"/>
    </row>
    <row r="331" spans="1:12" x14ac:dyDescent="0.35">
      <c r="A331" s="10">
        <v>351.03</v>
      </c>
      <c r="B331" s="2" t="s">
        <v>9</v>
      </c>
      <c r="C331" t="s">
        <v>110</v>
      </c>
      <c r="D331" t="s">
        <v>11</v>
      </c>
      <c r="E331" t="s">
        <v>19</v>
      </c>
      <c r="F331" s="10">
        <v>9.8757000000000001</v>
      </c>
      <c r="G331" s="10">
        <v>-0.47349999999999998</v>
      </c>
      <c r="H331" s="10">
        <v>350.7672</v>
      </c>
      <c r="I331" s="10">
        <v>0</v>
      </c>
      <c r="K331" s="10">
        <f t="shared" ref="K331" si="290">SQRT((F331-F329)^2+(H331-H329)^2)</f>
        <v>1.4981622408804789</v>
      </c>
      <c r="L331" s="10">
        <f t="shared" ref="L331" si="291">L329+K331</f>
        <v>351.02959778529112</v>
      </c>
    </row>
    <row r="332" spans="1:12" x14ac:dyDescent="0.35">
      <c r="A332" s="10">
        <v>351.03</v>
      </c>
      <c r="B332" s="2" t="s">
        <v>13</v>
      </c>
      <c r="C332" t="s">
        <v>110</v>
      </c>
      <c r="D332" t="s">
        <v>11</v>
      </c>
      <c r="E332" t="s">
        <v>19</v>
      </c>
      <c r="F332" s="10">
        <v>9.8757000000000001</v>
      </c>
      <c r="G332" s="10">
        <v>-0.47349999999999998</v>
      </c>
      <c r="H332" s="10">
        <v>350.7672</v>
      </c>
      <c r="I332" s="10">
        <v>0</v>
      </c>
      <c r="K332" s="10"/>
      <c r="L332" s="10">
        <f t="shared" ref="L332" si="292">(L331+L333)/2</f>
        <v>351.02959778529112</v>
      </c>
    </row>
    <row r="333" spans="1:12" x14ac:dyDescent="0.35">
      <c r="A333" s="10">
        <v>351.03</v>
      </c>
      <c r="B333" s="2" t="s">
        <v>14</v>
      </c>
      <c r="C333" t="s">
        <v>110</v>
      </c>
      <c r="D333" t="s">
        <v>11</v>
      </c>
      <c r="E333" t="s">
        <v>19</v>
      </c>
      <c r="F333" s="10">
        <v>9.8757000000000001</v>
      </c>
      <c r="G333" s="10">
        <v>-0.47349999999999998</v>
      </c>
      <c r="H333" s="10">
        <v>350.7672</v>
      </c>
      <c r="I333" s="10">
        <v>0</v>
      </c>
      <c r="K333" s="10">
        <f t="shared" ref="K333" si="293">SQRT((F333-F331)^2+(H333-H331)^2)</f>
        <v>0</v>
      </c>
      <c r="L333" s="10">
        <f t="shared" ref="L333" si="294">L331+K333</f>
        <v>351.02959778529112</v>
      </c>
    </row>
    <row r="334" spans="1:12" x14ac:dyDescent="0.35">
      <c r="A334" s="10"/>
      <c r="B334" s="2" t="s">
        <v>15</v>
      </c>
      <c r="C334" t="s">
        <v>15</v>
      </c>
      <c r="D334" t="s">
        <v>15</v>
      </c>
      <c r="E334" t="s">
        <v>15</v>
      </c>
      <c r="F334" s="10"/>
      <c r="G334" s="10"/>
      <c r="H334" s="10"/>
      <c r="I334" s="10"/>
      <c r="K334" s="10"/>
      <c r="L334" s="10"/>
    </row>
    <row r="335" spans="1:12" x14ac:dyDescent="0.35">
      <c r="A335" s="10">
        <v>351.33499999999998</v>
      </c>
      <c r="B335" s="2" t="s">
        <v>9</v>
      </c>
      <c r="C335" t="s">
        <v>55</v>
      </c>
      <c r="D335" t="s">
        <v>11</v>
      </c>
      <c r="E335" t="s">
        <v>56</v>
      </c>
      <c r="F335" s="10">
        <v>9.8925000000000001</v>
      </c>
      <c r="G335" s="10">
        <v>-0.47399999999999998</v>
      </c>
      <c r="H335" s="10">
        <v>351.07159999999999</v>
      </c>
      <c r="I335" s="10">
        <v>0</v>
      </c>
      <c r="K335" s="10">
        <f t="shared" ref="K335" si="295">SQRT((F335-F333)^2+(H335-H333)^2)</f>
        <v>0.30486324803096887</v>
      </c>
      <c r="L335" s="10">
        <f t="shared" ref="L335" si="296">L333+K335</f>
        <v>351.3344610333221</v>
      </c>
    </row>
    <row r="336" spans="1:12" x14ac:dyDescent="0.35">
      <c r="A336" s="10">
        <v>351.33499999999998</v>
      </c>
      <c r="B336" s="2" t="s">
        <v>13</v>
      </c>
      <c r="C336" t="s">
        <v>55</v>
      </c>
      <c r="D336" t="s">
        <v>11</v>
      </c>
      <c r="E336" t="s">
        <v>56</v>
      </c>
      <c r="F336" s="10">
        <v>9.8925000000000001</v>
      </c>
      <c r="G336" s="10">
        <v>-0.47399999999999998</v>
      </c>
      <c r="H336" s="10">
        <v>351.07159999999999</v>
      </c>
      <c r="I336" s="10">
        <v>0</v>
      </c>
      <c r="K336" s="10"/>
      <c r="L336" s="10">
        <f t="shared" ref="L336" si="297">(L335+L337)/2</f>
        <v>351.3344610333221</v>
      </c>
    </row>
    <row r="337" spans="1:17" x14ac:dyDescent="0.35">
      <c r="A337" s="10">
        <v>351.33499999999998</v>
      </c>
      <c r="B337" s="2" t="s">
        <v>14</v>
      </c>
      <c r="C337" t="s">
        <v>55</v>
      </c>
      <c r="D337" t="s">
        <v>11</v>
      </c>
      <c r="E337" t="s">
        <v>56</v>
      </c>
      <c r="F337" s="10">
        <v>9.8925000000000001</v>
      </c>
      <c r="G337" s="10">
        <v>-0.47399999999999998</v>
      </c>
      <c r="H337" s="10">
        <v>351.07159999999999</v>
      </c>
      <c r="I337" s="10">
        <v>0</v>
      </c>
      <c r="K337" s="10">
        <f t="shared" ref="K337" si="298">SQRT((F337-F335)^2+(H337-H335)^2)</f>
        <v>0</v>
      </c>
      <c r="L337" s="10">
        <f t="shared" ref="L337" si="299">L335+K337</f>
        <v>351.3344610333221</v>
      </c>
    </row>
    <row r="338" spans="1:17" x14ac:dyDescent="0.35">
      <c r="A338" s="10"/>
      <c r="B338" s="2" t="s">
        <v>15</v>
      </c>
      <c r="C338" t="s">
        <v>15</v>
      </c>
      <c r="D338" t="s">
        <v>15</v>
      </c>
      <c r="E338" t="s">
        <v>15</v>
      </c>
      <c r="F338" s="10"/>
      <c r="G338" s="10"/>
      <c r="H338" s="10"/>
      <c r="I338" s="10"/>
      <c r="K338" s="10"/>
      <c r="L338" s="10"/>
    </row>
    <row r="339" spans="1:17" x14ac:dyDescent="0.35">
      <c r="A339" s="10">
        <v>351.66500000000002</v>
      </c>
      <c r="B339" s="2" t="s">
        <v>9</v>
      </c>
      <c r="C339" t="s">
        <v>111</v>
      </c>
      <c r="D339" t="s">
        <v>11</v>
      </c>
      <c r="E339" t="s">
        <v>24</v>
      </c>
      <c r="F339" s="10">
        <v>9.9106000000000005</v>
      </c>
      <c r="G339" s="10">
        <v>-0.47460000000000002</v>
      </c>
      <c r="H339" s="10">
        <v>351.40129999999999</v>
      </c>
      <c r="I339" s="10">
        <v>0</v>
      </c>
      <c r="K339" s="10">
        <f t="shared" ref="K339" si="300">SQRT((F339-F337)^2+(H339-H337)^2)</f>
        <v>0.33019645667390451</v>
      </c>
      <c r="L339" s="10">
        <f t="shared" ref="L339" si="301">L337+K339</f>
        <v>351.66465748999599</v>
      </c>
    </row>
    <row r="340" spans="1:17" x14ac:dyDescent="0.35">
      <c r="A340" s="10">
        <v>351.66500000000002</v>
      </c>
      <c r="B340" s="2" t="s">
        <v>13</v>
      </c>
      <c r="C340" t="s">
        <v>111</v>
      </c>
      <c r="D340" t="s">
        <v>11</v>
      </c>
      <c r="E340" t="s">
        <v>24</v>
      </c>
      <c r="F340" s="10">
        <v>9.9106000000000005</v>
      </c>
      <c r="G340" s="10">
        <v>-0.47460000000000002</v>
      </c>
      <c r="H340" s="10">
        <v>351.40129999999999</v>
      </c>
      <c r="I340" s="10">
        <v>0</v>
      </c>
      <c r="K340" s="10"/>
      <c r="L340" s="10">
        <f t="shared" ref="L340" si="302">(L339+L341)/2</f>
        <v>351.66465748999599</v>
      </c>
    </row>
    <row r="341" spans="1:17" x14ac:dyDescent="0.35">
      <c r="A341" s="10">
        <v>351.66500000000002</v>
      </c>
      <c r="B341" s="2" t="s">
        <v>14</v>
      </c>
      <c r="C341" t="s">
        <v>111</v>
      </c>
      <c r="D341" t="s">
        <v>11</v>
      </c>
      <c r="E341" t="s">
        <v>24</v>
      </c>
      <c r="F341" s="10">
        <v>9.9106000000000005</v>
      </c>
      <c r="G341" s="10">
        <v>-0.47460000000000002</v>
      </c>
      <c r="H341" s="10">
        <v>351.40129999999999</v>
      </c>
      <c r="I341" s="10">
        <v>0</v>
      </c>
      <c r="K341" s="10">
        <f t="shared" ref="K341" si="303">SQRT((F341-F339)^2+(H341-H339)^2)</f>
        <v>0</v>
      </c>
      <c r="L341" s="10">
        <f t="shared" ref="L341" si="304">L339+K341</f>
        <v>351.66465748999599</v>
      </c>
    </row>
    <row r="342" spans="1:17" x14ac:dyDescent="0.35">
      <c r="A342" s="10"/>
      <c r="B342" s="2" t="s">
        <v>15</v>
      </c>
      <c r="C342" t="s">
        <v>15</v>
      </c>
      <c r="D342" t="s">
        <v>15</v>
      </c>
      <c r="E342" t="s">
        <v>15</v>
      </c>
      <c r="F342" s="10"/>
      <c r="G342" s="10"/>
      <c r="H342" s="10"/>
      <c r="I342" s="10"/>
      <c r="K342" s="10"/>
      <c r="L342" s="10"/>
    </row>
    <row r="343" spans="1:17" x14ac:dyDescent="0.35">
      <c r="A343" s="10">
        <v>352.72199999999998</v>
      </c>
      <c r="B343" s="2" t="s">
        <v>9</v>
      </c>
      <c r="C343" t="s">
        <v>55</v>
      </c>
      <c r="D343" t="s">
        <v>11</v>
      </c>
      <c r="E343" t="s">
        <v>56</v>
      </c>
      <c r="F343" s="10">
        <v>9.9687000000000001</v>
      </c>
      <c r="G343" s="10">
        <v>-0.47649999999999998</v>
      </c>
      <c r="H343" s="10">
        <v>352.45650000000001</v>
      </c>
      <c r="I343" s="10">
        <v>0</v>
      </c>
      <c r="K343" s="10">
        <f t="shared" ref="K343" si="305">SQRT((F343-F341)^2+(H343-H341)^2)</f>
        <v>1.056798301474803</v>
      </c>
      <c r="L343" s="10">
        <f t="shared" ref="L343" si="306">L341+K343</f>
        <v>352.72145579147082</v>
      </c>
    </row>
    <row r="344" spans="1:17" x14ac:dyDescent="0.35">
      <c r="A344" s="10">
        <v>352.72199999999998</v>
      </c>
      <c r="B344" s="2" t="s">
        <v>13</v>
      </c>
      <c r="C344" t="s">
        <v>55</v>
      </c>
      <c r="D344" t="s">
        <v>11</v>
      </c>
      <c r="E344" t="s">
        <v>56</v>
      </c>
      <c r="F344" s="10">
        <v>9.9687000000000001</v>
      </c>
      <c r="G344" s="10">
        <v>-0.47649999999999998</v>
      </c>
      <c r="H344" s="10">
        <v>352.45650000000001</v>
      </c>
      <c r="I344" s="10">
        <v>0</v>
      </c>
      <c r="K344" s="10"/>
      <c r="L344" s="10">
        <f t="shared" ref="L344" si="307">(L343+L345)/2</f>
        <v>352.72145579147082</v>
      </c>
    </row>
    <row r="345" spans="1:17" x14ac:dyDescent="0.35">
      <c r="A345" s="10">
        <v>352.72199999999998</v>
      </c>
      <c r="B345" s="2" t="s">
        <v>14</v>
      </c>
      <c r="C345" t="s">
        <v>55</v>
      </c>
      <c r="D345" t="s">
        <v>11</v>
      </c>
      <c r="E345" t="s">
        <v>56</v>
      </c>
      <c r="F345" s="10">
        <v>9.9687000000000001</v>
      </c>
      <c r="G345" s="10">
        <v>-0.47649999999999998</v>
      </c>
      <c r="H345" s="10">
        <v>352.45650000000001</v>
      </c>
      <c r="I345" s="10">
        <v>0</v>
      </c>
      <c r="K345" s="10">
        <f t="shared" ref="K345" si="308">SQRT((F345-F343)^2+(H345-H343)^2)</f>
        <v>0</v>
      </c>
      <c r="L345" s="10">
        <f t="shared" ref="L345" si="309">L343+K345</f>
        <v>352.72145579147082</v>
      </c>
    </row>
    <row r="346" spans="1:17" x14ac:dyDescent="0.35">
      <c r="A346" s="10"/>
      <c r="B346" s="2" t="s">
        <v>15</v>
      </c>
      <c r="C346" t="s">
        <v>15</v>
      </c>
      <c r="D346" t="s">
        <v>15</v>
      </c>
      <c r="E346" t="s">
        <v>15</v>
      </c>
      <c r="F346" s="10"/>
      <c r="G346" s="10"/>
      <c r="H346" s="10"/>
      <c r="I346" s="10"/>
      <c r="K346" s="10"/>
      <c r="L346" s="10"/>
    </row>
    <row r="347" spans="1:17" x14ac:dyDescent="0.35">
      <c r="A347" s="10">
        <v>353.00200000000001</v>
      </c>
      <c r="B347" s="2" t="s">
        <v>9</v>
      </c>
      <c r="C347" t="s">
        <v>112</v>
      </c>
      <c r="D347" t="s">
        <v>43</v>
      </c>
      <c r="E347" t="s">
        <v>70</v>
      </c>
      <c r="F347" s="10">
        <v>9.9840999999999998</v>
      </c>
      <c r="G347" s="10">
        <v>-0.47699999999999998</v>
      </c>
      <c r="H347" s="10">
        <v>352.7355</v>
      </c>
      <c r="I347" s="10">
        <v>0</v>
      </c>
      <c r="K347" s="10">
        <f t="shared" ref="K347" si="310">SQRT((F347-F345)^2+(H347-H345)^2)</f>
        <v>0.27942469468534442</v>
      </c>
      <c r="L347" s="10">
        <f t="shared" ref="L347" si="311">L345+K347</f>
        <v>353.00088048615618</v>
      </c>
    </row>
    <row r="348" spans="1:17" x14ac:dyDescent="0.35">
      <c r="A348" s="10">
        <v>354.52600000000001</v>
      </c>
      <c r="B348" s="2" t="s">
        <v>13</v>
      </c>
      <c r="C348" t="s">
        <v>112</v>
      </c>
      <c r="D348" t="s">
        <v>43</v>
      </c>
      <c r="E348" t="s">
        <v>70</v>
      </c>
      <c r="F348" s="10">
        <v>10.06785</v>
      </c>
      <c r="G348" s="10">
        <v>-0.47975000000000001</v>
      </c>
      <c r="H348" s="10">
        <v>354.25720000000001</v>
      </c>
      <c r="I348" s="10">
        <v>0</v>
      </c>
      <c r="K348" s="10"/>
      <c r="L348" s="10">
        <f t="shared" ref="L348" si="312">(L347+L349)/2</f>
        <v>354.52488342332526</v>
      </c>
    </row>
    <row r="349" spans="1:17" x14ac:dyDescent="0.35">
      <c r="A349" s="10">
        <v>356.05</v>
      </c>
      <c r="B349" s="2" t="s">
        <v>14</v>
      </c>
      <c r="C349" t="s">
        <v>112</v>
      </c>
      <c r="D349" t="s">
        <v>43</v>
      </c>
      <c r="E349" t="s">
        <v>70</v>
      </c>
      <c r="F349" s="10">
        <v>10.1516</v>
      </c>
      <c r="G349" s="10">
        <v>-0.48249999999999998</v>
      </c>
      <c r="H349" s="10">
        <v>355.77890000000002</v>
      </c>
      <c r="I349" s="10">
        <v>0</v>
      </c>
      <c r="K349" s="10">
        <f t="shared" ref="K349" si="313">SQRT((F349-F347)^2+(H349-H347)^2)</f>
        <v>3.048005874338191</v>
      </c>
      <c r="L349" s="10">
        <f t="shared" ref="L349" si="314">L347+K349</f>
        <v>356.04888636049435</v>
      </c>
    </row>
    <row r="350" spans="1:17" x14ac:dyDescent="0.35">
      <c r="A350" s="24"/>
      <c r="B350" s="25" t="s">
        <v>15</v>
      </c>
      <c r="C350" s="26" t="s">
        <v>15</v>
      </c>
      <c r="D350" s="26" t="s">
        <v>15</v>
      </c>
      <c r="E350" s="26" t="s">
        <v>15</v>
      </c>
      <c r="F350" s="24"/>
      <c r="G350" s="24"/>
      <c r="H350" s="24"/>
      <c r="I350" s="24"/>
      <c r="J350" s="26"/>
      <c r="K350" s="24"/>
      <c r="L350" s="24"/>
      <c r="M350" s="26"/>
      <c r="N350" s="26" t="s">
        <v>477</v>
      </c>
      <c r="Q350">
        <f>(A351+A349)/2-A325</f>
        <v>8.69500000000005</v>
      </c>
    </row>
    <row r="351" spans="1:17" x14ac:dyDescent="0.35">
      <c r="A351" s="10">
        <v>359.70600000000002</v>
      </c>
      <c r="B351" s="2" t="s">
        <v>9</v>
      </c>
      <c r="C351" t="s">
        <v>113</v>
      </c>
      <c r="D351" t="s">
        <v>66</v>
      </c>
      <c r="E351" t="s">
        <v>95</v>
      </c>
      <c r="F351" s="10">
        <v>10.352600000000001</v>
      </c>
      <c r="G351" s="10">
        <v>-0.48909999999999998</v>
      </c>
      <c r="H351" s="10">
        <v>359.42939999999999</v>
      </c>
      <c r="I351" s="10">
        <v>0</v>
      </c>
      <c r="K351" s="10">
        <f t="shared" ref="K351" si="315">SQRT((F351-F349)^2+(H351-H349)^2)</f>
        <v>3.6560294377917346</v>
      </c>
      <c r="L351" s="10">
        <f t="shared" ref="L351" si="316">L349+K351</f>
        <v>359.70491579828609</v>
      </c>
    </row>
    <row r="352" spans="1:17" x14ac:dyDescent="0.35">
      <c r="A352" s="10">
        <v>361.23</v>
      </c>
      <c r="B352" s="2" t="s">
        <v>13</v>
      </c>
      <c r="C352" t="s">
        <v>113</v>
      </c>
      <c r="D352" t="s">
        <v>66</v>
      </c>
      <c r="E352" t="s">
        <v>95</v>
      </c>
      <c r="F352" s="10">
        <v>10.436349999999999</v>
      </c>
      <c r="G352" s="10">
        <v>-0.49185000000000001</v>
      </c>
      <c r="H352" s="10">
        <v>360.95105000000001</v>
      </c>
      <c r="I352" s="10">
        <v>0</v>
      </c>
      <c r="K352" s="10"/>
      <c r="L352" s="10">
        <f t="shared" ref="L352" si="317">(L351+L353)/2</f>
        <v>361.22886881101317</v>
      </c>
    </row>
    <row r="353" spans="1:18" x14ac:dyDescent="0.35">
      <c r="A353" s="10">
        <v>362.75400000000002</v>
      </c>
      <c r="B353" s="2" t="s">
        <v>14</v>
      </c>
      <c r="C353" t="s">
        <v>113</v>
      </c>
      <c r="D353" t="s">
        <v>66</v>
      </c>
      <c r="E353" t="s">
        <v>95</v>
      </c>
      <c r="F353" s="10">
        <v>10.520099999999999</v>
      </c>
      <c r="G353" s="10">
        <v>-0.49459999999999998</v>
      </c>
      <c r="H353" s="10">
        <v>362.47269999999997</v>
      </c>
      <c r="I353" s="10">
        <v>0</v>
      </c>
      <c r="K353" s="10">
        <f t="shared" ref="K353" si="318">SQRT((F353-F351)^2+(H353-H351)^2)</f>
        <v>3.0479060254541848</v>
      </c>
      <c r="L353" s="10">
        <f t="shared" ref="L353" si="319">L351+K353</f>
        <v>362.75282182374031</v>
      </c>
    </row>
    <row r="354" spans="1:18" x14ac:dyDescent="0.35">
      <c r="A354" s="10"/>
      <c r="B354" s="2" t="s">
        <v>15</v>
      </c>
      <c r="C354" t="s">
        <v>15</v>
      </c>
      <c r="D354" t="s">
        <v>15</v>
      </c>
      <c r="E354" t="s">
        <v>15</v>
      </c>
      <c r="F354" s="10"/>
      <c r="G354" s="10"/>
      <c r="H354" s="10"/>
      <c r="I354" s="10"/>
      <c r="K354" s="10"/>
      <c r="L354" s="10"/>
    </row>
    <row r="355" spans="1:18" x14ac:dyDescent="0.35">
      <c r="A355" s="10">
        <v>363.05799999999999</v>
      </c>
      <c r="B355" s="2" t="s">
        <v>9</v>
      </c>
      <c r="C355" t="s">
        <v>114</v>
      </c>
      <c r="D355" t="s">
        <v>66</v>
      </c>
      <c r="E355" t="s">
        <v>95</v>
      </c>
      <c r="F355" s="10">
        <v>10.536799999999999</v>
      </c>
      <c r="G355" s="10">
        <v>-0.49509999999999998</v>
      </c>
      <c r="H355" s="10">
        <v>362.77629999999999</v>
      </c>
      <c r="I355" s="10">
        <v>0</v>
      </c>
      <c r="K355" s="10">
        <f t="shared" ref="K355" si="320">SQRT((F355-F353)^2+(H355-H353)^2)</f>
        <v>0.304058958098607</v>
      </c>
      <c r="L355" s="10">
        <f t="shared" ref="L355" si="321">L353+K355</f>
        <v>363.05688078183891</v>
      </c>
    </row>
    <row r="356" spans="1:18" x14ac:dyDescent="0.35">
      <c r="A356" s="10">
        <v>364.58199999999999</v>
      </c>
      <c r="B356" s="2" t="s">
        <v>13</v>
      </c>
      <c r="C356" t="s">
        <v>114</v>
      </c>
      <c r="D356" t="s">
        <v>66</v>
      </c>
      <c r="E356" t="s">
        <v>95</v>
      </c>
      <c r="F356" s="10">
        <v>10.62055</v>
      </c>
      <c r="G356" s="10">
        <v>-0.49785000000000001</v>
      </c>
      <c r="H356" s="10">
        <v>364.298</v>
      </c>
      <c r="I356" s="10">
        <v>0</v>
      </c>
      <c r="K356" s="10"/>
      <c r="L356" s="10">
        <f t="shared" ref="L356" si="322">(L355+L357)/2</f>
        <v>364.580883719008</v>
      </c>
    </row>
    <row r="357" spans="1:18" x14ac:dyDescent="0.35">
      <c r="A357" s="10">
        <v>366.10599999999999</v>
      </c>
      <c r="B357" s="2" t="s">
        <v>14</v>
      </c>
      <c r="C357" t="s">
        <v>114</v>
      </c>
      <c r="D357" t="s">
        <v>66</v>
      </c>
      <c r="E357" t="s">
        <v>95</v>
      </c>
      <c r="F357" s="10">
        <v>10.7043</v>
      </c>
      <c r="G357" s="10">
        <v>-0.50060000000000004</v>
      </c>
      <c r="H357" s="10">
        <v>365.81970000000001</v>
      </c>
      <c r="I357" s="10">
        <v>0</v>
      </c>
      <c r="K357" s="10">
        <f t="shared" ref="K357" si="323">SQRT((F357-F355)^2+(H357-H355)^2)</f>
        <v>3.048005874338191</v>
      </c>
      <c r="L357" s="10">
        <f t="shared" ref="L357" si="324">L355+K357</f>
        <v>366.10488665617709</v>
      </c>
    </row>
    <row r="358" spans="1:18" x14ac:dyDescent="0.35">
      <c r="A358" s="10"/>
      <c r="B358" s="2" t="s">
        <v>15</v>
      </c>
      <c r="C358" t="s">
        <v>15</v>
      </c>
      <c r="D358" t="s">
        <v>15</v>
      </c>
      <c r="E358" t="s">
        <v>15</v>
      </c>
      <c r="F358" s="10"/>
      <c r="G358" s="10"/>
      <c r="H358" s="10"/>
      <c r="I358" s="10"/>
      <c r="K358" s="10"/>
      <c r="L358" s="10"/>
    </row>
    <row r="359" spans="1:18" x14ac:dyDescent="0.35">
      <c r="A359" s="10">
        <v>366.41</v>
      </c>
      <c r="B359" s="2" t="s">
        <v>9</v>
      </c>
      <c r="C359" t="s">
        <v>55</v>
      </c>
      <c r="D359" t="s">
        <v>11</v>
      </c>
      <c r="E359" t="s">
        <v>56</v>
      </c>
      <c r="F359" s="10">
        <v>10.7211</v>
      </c>
      <c r="G359" s="10">
        <v>-0.50119999999999998</v>
      </c>
      <c r="H359" s="10">
        <v>366.12400000000002</v>
      </c>
      <c r="I359" s="10">
        <v>0</v>
      </c>
      <c r="K359" s="10">
        <f t="shared" ref="K359" si="325">SQRT((F359-F357)^2+(H359-H357)^2)</f>
        <v>0.30476340003354618</v>
      </c>
      <c r="L359" s="10">
        <f t="shared" ref="L359" si="326">L357+K359</f>
        <v>366.40965005621064</v>
      </c>
    </row>
    <row r="360" spans="1:18" x14ac:dyDescent="0.35">
      <c r="A360" s="10">
        <v>366.41</v>
      </c>
      <c r="B360" s="2" t="s">
        <v>13</v>
      </c>
      <c r="C360" t="s">
        <v>55</v>
      </c>
      <c r="D360" t="s">
        <v>11</v>
      </c>
      <c r="E360" t="s">
        <v>56</v>
      </c>
      <c r="F360" s="10">
        <v>10.7211</v>
      </c>
      <c r="G360" s="10">
        <v>-0.50119999999999998</v>
      </c>
      <c r="H360" s="10">
        <v>366.12400000000002</v>
      </c>
      <c r="I360" s="10">
        <v>0</v>
      </c>
      <c r="K360" s="10"/>
      <c r="L360" s="10">
        <f t="shared" ref="L360" si="327">(L359+L361)/2</f>
        <v>366.40965005621064</v>
      </c>
    </row>
    <row r="361" spans="1:18" x14ac:dyDescent="0.35">
      <c r="A361" s="10">
        <v>366.41</v>
      </c>
      <c r="B361" s="2" t="s">
        <v>14</v>
      </c>
      <c r="C361" t="s">
        <v>55</v>
      </c>
      <c r="D361" t="s">
        <v>11</v>
      </c>
      <c r="E361" t="s">
        <v>56</v>
      </c>
      <c r="F361" s="10">
        <v>10.7211</v>
      </c>
      <c r="G361" s="10">
        <v>-0.50119999999999998</v>
      </c>
      <c r="H361" s="10">
        <v>366.12400000000002</v>
      </c>
      <c r="I361" s="10">
        <v>0</v>
      </c>
      <c r="K361" s="10">
        <f t="shared" ref="K361" si="328">SQRT((F361-F359)^2+(H361-H359)^2)</f>
        <v>0</v>
      </c>
      <c r="L361" s="10">
        <f t="shared" ref="L361" si="329">L359+K361</f>
        <v>366.40965005621064</v>
      </c>
    </row>
    <row r="362" spans="1:18" x14ac:dyDescent="0.35">
      <c r="A362" s="10"/>
      <c r="B362" s="2" t="s">
        <v>15</v>
      </c>
      <c r="C362" t="s">
        <v>15</v>
      </c>
      <c r="D362" t="s">
        <v>15</v>
      </c>
      <c r="E362" t="s">
        <v>15</v>
      </c>
      <c r="F362" s="10"/>
      <c r="G362" s="10"/>
      <c r="H362" s="10"/>
      <c r="I362" s="10"/>
      <c r="K362" s="10"/>
      <c r="L362" s="10"/>
    </row>
    <row r="363" spans="1:18" x14ac:dyDescent="0.35">
      <c r="A363" s="10">
        <v>366.43599999999998</v>
      </c>
      <c r="B363" s="2" t="s">
        <v>9</v>
      </c>
      <c r="C363" t="s">
        <v>55</v>
      </c>
      <c r="D363" t="s">
        <v>11</v>
      </c>
      <c r="E363" t="s">
        <v>56</v>
      </c>
      <c r="F363" s="10">
        <v>10.7225</v>
      </c>
      <c r="G363" s="10">
        <v>-0.50119999999999998</v>
      </c>
      <c r="H363" s="10">
        <v>366.14929999999998</v>
      </c>
      <c r="I363" s="10">
        <v>0</v>
      </c>
      <c r="K363" s="10">
        <f t="shared" ref="K363" si="330">SQRT((F363-F361)^2+(H363-H361)^2)</f>
        <v>2.5338705570686047E-2</v>
      </c>
      <c r="L363" s="10">
        <f t="shared" ref="L363" si="331">L361+K363</f>
        <v>366.43498876178131</v>
      </c>
    </row>
    <row r="364" spans="1:18" x14ac:dyDescent="0.35">
      <c r="A364" s="10">
        <v>366.43599999999998</v>
      </c>
      <c r="B364" s="2" t="s">
        <v>13</v>
      </c>
      <c r="C364" t="s">
        <v>55</v>
      </c>
      <c r="D364" t="s">
        <v>11</v>
      </c>
      <c r="E364" t="s">
        <v>56</v>
      </c>
      <c r="F364" s="10">
        <v>10.7225</v>
      </c>
      <c r="G364" s="10">
        <v>-0.50119999999999998</v>
      </c>
      <c r="H364" s="10">
        <v>366.14929999999998</v>
      </c>
      <c r="I364" s="10">
        <v>0</v>
      </c>
      <c r="K364" s="10"/>
      <c r="L364" s="10">
        <f t="shared" ref="L364" si="332">(L363+L365)/2</f>
        <v>366.43498876178131</v>
      </c>
    </row>
    <row r="365" spans="1:18" x14ac:dyDescent="0.35">
      <c r="A365" s="10">
        <v>366.43599999999998</v>
      </c>
      <c r="B365" s="2" t="s">
        <v>14</v>
      </c>
      <c r="C365" t="s">
        <v>55</v>
      </c>
      <c r="D365" t="s">
        <v>11</v>
      </c>
      <c r="E365" t="s">
        <v>56</v>
      </c>
      <c r="F365" s="10">
        <v>10.7225</v>
      </c>
      <c r="G365" s="10">
        <v>-0.50119999999999998</v>
      </c>
      <c r="H365" s="10">
        <v>366.14929999999998</v>
      </c>
      <c r="I365" s="10">
        <v>0</v>
      </c>
      <c r="K365" s="10">
        <f t="shared" ref="K365" si="333">SQRT((F365-F363)^2+(H365-H363)^2)</f>
        <v>0</v>
      </c>
      <c r="L365" s="10">
        <f t="shared" ref="L365" si="334">L363+K365</f>
        <v>366.43498876178131</v>
      </c>
    </row>
    <row r="366" spans="1:18" x14ac:dyDescent="0.35">
      <c r="A366" s="10"/>
      <c r="B366" s="2" t="s">
        <v>15</v>
      </c>
      <c r="C366" t="s">
        <v>15</v>
      </c>
      <c r="D366" t="s">
        <v>15</v>
      </c>
      <c r="E366" t="s">
        <v>15</v>
      </c>
      <c r="F366" s="10"/>
      <c r="G366" s="10"/>
      <c r="H366" s="10"/>
      <c r="I366" s="10"/>
      <c r="K366" s="10"/>
      <c r="L366" s="10"/>
    </row>
    <row r="367" spans="1:18" x14ac:dyDescent="0.35">
      <c r="A367" s="10">
        <v>366.43599999999998</v>
      </c>
      <c r="B367" s="2" t="s">
        <v>9</v>
      </c>
      <c r="C367" t="s">
        <v>115</v>
      </c>
      <c r="D367" t="s">
        <v>27</v>
      </c>
      <c r="E367" t="s">
        <v>70</v>
      </c>
      <c r="F367" s="10">
        <v>10.7225</v>
      </c>
      <c r="G367" s="10">
        <v>-0.50119999999999998</v>
      </c>
      <c r="H367" s="10">
        <v>366.14929999999998</v>
      </c>
      <c r="I367" s="10">
        <v>0</v>
      </c>
      <c r="K367" s="10">
        <f t="shared" ref="K367" si="335">SQRT((F367-F365)^2+(H367-H365)^2)</f>
        <v>0</v>
      </c>
      <c r="L367" s="10">
        <f t="shared" ref="L367" si="336">L365+K367</f>
        <v>366.43498876178131</v>
      </c>
      <c r="Q367" s="10"/>
      <c r="R367" s="10"/>
    </row>
    <row r="368" spans="1:18" x14ac:dyDescent="0.35">
      <c r="A368" s="10">
        <v>367.96</v>
      </c>
      <c r="B368" s="2" t="s">
        <v>13</v>
      </c>
      <c r="C368" t="s">
        <v>115</v>
      </c>
      <c r="D368" t="s">
        <v>27</v>
      </c>
      <c r="E368" t="s">
        <v>70</v>
      </c>
      <c r="F368" s="10">
        <v>10.81105</v>
      </c>
      <c r="G368" s="10">
        <v>-0.50395000000000001</v>
      </c>
      <c r="H368" s="10">
        <v>367.67070000000001</v>
      </c>
      <c r="I368" s="10">
        <v>0</v>
      </c>
      <c r="K368" s="10"/>
      <c r="L368" s="10">
        <f t="shared" ref="L368" si="337">(L367+L369)/2</f>
        <v>367.95896351961034</v>
      </c>
    </row>
    <row r="369" spans="1:22" x14ac:dyDescent="0.35">
      <c r="A369" s="10">
        <v>369.48399999999998</v>
      </c>
      <c r="B369" s="2" t="s">
        <v>14</v>
      </c>
      <c r="C369" t="s">
        <v>115</v>
      </c>
      <c r="D369" t="s">
        <v>27</v>
      </c>
      <c r="E369" t="s">
        <v>70</v>
      </c>
      <c r="F369" s="10">
        <v>10.8996</v>
      </c>
      <c r="G369" s="10">
        <v>-0.50670000000000004</v>
      </c>
      <c r="H369" s="10">
        <v>369.19209999999998</v>
      </c>
      <c r="I369" s="10">
        <v>0</v>
      </c>
      <c r="K369" s="10">
        <f t="shared" ref="K369" si="338">SQRT((F369-F367)^2+(H369-H367)^2)</f>
        <v>3.0479495156580265</v>
      </c>
      <c r="L369" s="10">
        <f t="shared" ref="L369" si="339">L367+K369</f>
        <v>369.48293827743936</v>
      </c>
    </row>
    <row r="370" spans="1:22" x14ac:dyDescent="0.35">
      <c r="A370" s="10"/>
      <c r="B370" s="2" t="s">
        <v>15</v>
      </c>
      <c r="C370" t="s">
        <v>15</v>
      </c>
      <c r="D370" t="s">
        <v>15</v>
      </c>
      <c r="E370" t="s">
        <v>15</v>
      </c>
      <c r="F370" s="10"/>
      <c r="G370" s="10"/>
      <c r="H370" s="10"/>
      <c r="I370" s="10"/>
      <c r="K370" s="10"/>
      <c r="L370" s="10"/>
    </row>
    <row r="371" spans="1:22" x14ac:dyDescent="0.35">
      <c r="A371" s="10">
        <v>369.94099999999997</v>
      </c>
      <c r="B371" s="2" t="s">
        <v>9</v>
      </c>
      <c r="C371" t="s">
        <v>116</v>
      </c>
      <c r="D371" t="s">
        <v>27</v>
      </c>
      <c r="E371" t="s">
        <v>117</v>
      </c>
      <c r="F371" s="10">
        <v>10.9277</v>
      </c>
      <c r="G371" s="10">
        <v>-0.50749999999999995</v>
      </c>
      <c r="H371" s="10">
        <v>369.64830000000001</v>
      </c>
      <c r="I371" s="10">
        <v>-90</v>
      </c>
      <c r="K371" s="10">
        <f t="shared" ref="K371" si="340">SQRT((F371-F369)^2+(H371-H369)^2)</f>
        <v>0.45706460156089734</v>
      </c>
      <c r="L371" s="10">
        <f t="shared" ref="L371" si="341">L369+K371</f>
        <v>369.94000287900025</v>
      </c>
      <c r="Q371" s="10">
        <f>G371-G351</f>
        <v>-1.8399999999999972E-2</v>
      </c>
      <c r="R371" s="10">
        <f>A371-A351</f>
        <v>10.234999999999957</v>
      </c>
      <c r="S371">
        <f>Q371/R371</f>
        <v>-1.7977528089887689E-3</v>
      </c>
    </row>
    <row r="372" spans="1:22" x14ac:dyDescent="0.35">
      <c r="A372" s="10">
        <v>371.46499999999997</v>
      </c>
      <c r="B372" s="2" t="s">
        <v>13</v>
      </c>
      <c r="C372" t="s">
        <v>116</v>
      </c>
      <c r="D372" t="s">
        <v>27</v>
      </c>
      <c r="E372" t="s">
        <v>117</v>
      </c>
      <c r="F372" s="10">
        <v>11.021100000000001</v>
      </c>
      <c r="G372" s="10">
        <v>-0.50905</v>
      </c>
      <c r="H372" s="10">
        <v>371.16944999999998</v>
      </c>
      <c r="I372" s="10">
        <v>-90</v>
      </c>
      <c r="K372" s="10"/>
      <c r="L372" s="10">
        <f t="shared" ref="L372" si="342">(L371+L373)/2</f>
        <v>371.46401760415881</v>
      </c>
    </row>
    <row r="373" spans="1:22" x14ac:dyDescent="0.35">
      <c r="A373" s="10">
        <v>372.98899999999998</v>
      </c>
      <c r="B373" s="2" t="s">
        <v>14</v>
      </c>
      <c r="C373" t="s">
        <v>116</v>
      </c>
      <c r="D373" t="s">
        <v>27</v>
      </c>
      <c r="E373" t="s">
        <v>117</v>
      </c>
      <c r="F373" s="10">
        <v>11.1145</v>
      </c>
      <c r="G373" s="10">
        <v>-0.51060000000000005</v>
      </c>
      <c r="H373" s="10">
        <v>372.69060000000002</v>
      </c>
      <c r="I373" s="10">
        <v>-90</v>
      </c>
      <c r="K373" s="10">
        <f t="shared" ref="K373" si="343">SQRT((F373-F371)^2+(H373-H371)^2)</f>
        <v>3.0480294503170522</v>
      </c>
      <c r="L373" s="10">
        <f t="shared" ref="L373" si="344">L371+K373</f>
        <v>372.98803232931732</v>
      </c>
    </row>
    <row r="374" spans="1:22" x14ac:dyDescent="0.35">
      <c r="A374" s="10"/>
      <c r="B374" s="2" t="s">
        <v>15</v>
      </c>
      <c r="C374" t="s">
        <v>15</v>
      </c>
      <c r="D374" t="s">
        <v>15</v>
      </c>
      <c r="E374" t="s">
        <v>15</v>
      </c>
      <c r="F374" s="10"/>
      <c r="G374" s="10"/>
      <c r="H374" s="10"/>
      <c r="I374" s="10"/>
      <c r="K374" s="10"/>
      <c r="L374" s="10"/>
      <c r="S374">
        <f>S403-S371</f>
        <v>3.2005107738009428E-3</v>
      </c>
    </row>
    <row r="375" spans="1:22" x14ac:dyDescent="0.35">
      <c r="A375" s="10">
        <v>379.69400000000002</v>
      </c>
      <c r="B375" s="2" t="s">
        <v>9</v>
      </c>
      <c r="C375" t="s">
        <v>118</v>
      </c>
      <c r="D375" t="s">
        <v>27</v>
      </c>
      <c r="E375" t="s">
        <v>117</v>
      </c>
      <c r="F375" s="10">
        <v>11.525399999999999</v>
      </c>
      <c r="G375" s="10">
        <v>-0.51190000000000002</v>
      </c>
      <c r="H375" s="10">
        <v>379.38290000000001</v>
      </c>
      <c r="I375" s="10">
        <v>-90</v>
      </c>
      <c r="K375" s="10">
        <f t="shared" ref="K375" si="345">SQRT((F375-F373)^2+(H375-H373)^2)</f>
        <v>6.7049025421701582</v>
      </c>
      <c r="L375" s="10">
        <f t="shared" ref="L375" si="346">L373+K375</f>
        <v>379.69293487148747</v>
      </c>
    </row>
    <row r="376" spans="1:22" x14ac:dyDescent="0.35">
      <c r="A376" s="10">
        <v>381.21800000000002</v>
      </c>
      <c r="B376" s="2" t="s">
        <v>13</v>
      </c>
      <c r="C376" t="s">
        <v>118</v>
      </c>
      <c r="D376" t="s">
        <v>27</v>
      </c>
      <c r="E376" t="s">
        <v>117</v>
      </c>
      <c r="F376" s="10">
        <v>11.61885</v>
      </c>
      <c r="G376" s="10">
        <v>-0.51100000000000001</v>
      </c>
      <c r="H376" s="10">
        <v>380.90404999999998</v>
      </c>
      <c r="I376" s="10">
        <v>-90</v>
      </c>
      <c r="K376" s="10"/>
      <c r="L376" s="10">
        <f t="shared" ref="L376" si="347">(L375+L377)/2</f>
        <v>381.21695266173799</v>
      </c>
    </row>
    <row r="377" spans="1:22" x14ac:dyDescent="0.35">
      <c r="A377" s="10">
        <v>382.74200000000002</v>
      </c>
      <c r="B377" s="2" t="s">
        <v>14</v>
      </c>
      <c r="C377" t="s">
        <v>118</v>
      </c>
      <c r="D377" t="s">
        <v>27</v>
      </c>
      <c r="E377" t="s">
        <v>117</v>
      </c>
      <c r="F377" s="10">
        <v>11.712300000000001</v>
      </c>
      <c r="G377" s="10">
        <v>-0.5101</v>
      </c>
      <c r="H377" s="10">
        <v>382.42520000000002</v>
      </c>
      <c r="I377" s="10">
        <v>-90</v>
      </c>
      <c r="K377" s="10">
        <f t="shared" ref="K377" si="348">SQRT((F377-F375)^2+(H377-H375)^2)</f>
        <v>3.0480355805010007</v>
      </c>
      <c r="L377" s="10">
        <f t="shared" ref="L377" si="349">L375+K377</f>
        <v>382.74097045198846</v>
      </c>
      <c r="S377">
        <v>579</v>
      </c>
      <c r="T377">
        <f>S377*12*2.54/100</f>
        <v>176.47920000000002</v>
      </c>
    </row>
    <row r="378" spans="1:22" x14ac:dyDescent="0.35">
      <c r="A378" s="10"/>
      <c r="B378" s="2" t="s">
        <v>15</v>
      </c>
      <c r="C378" t="s">
        <v>15</v>
      </c>
      <c r="D378" t="s">
        <v>15</v>
      </c>
      <c r="E378" t="s">
        <v>15</v>
      </c>
      <c r="F378" s="10"/>
      <c r="G378" s="10"/>
      <c r="H378" s="10"/>
      <c r="I378" s="10"/>
      <c r="K378" s="10"/>
      <c r="L378" s="10"/>
    </row>
    <row r="379" spans="1:22" x14ac:dyDescent="0.35">
      <c r="A379" s="10">
        <v>383.75700000000001</v>
      </c>
      <c r="B379" s="2" t="s">
        <v>9</v>
      </c>
      <c r="C379" t="s">
        <v>55</v>
      </c>
      <c r="D379" t="s">
        <v>11</v>
      </c>
      <c r="E379" t="s">
        <v>56</v>
      </c>
      <c r="F379" s="10">
        <v>11.7745</v>
      </c>
      <c r="G379" s="10">
        <v>-0.50870000000000004</v>
      </c>
      <c r="H379" s="10">
        <v>383.43889999999999</v>
      </c>
      <c r="I379" s="10">
        <v>0</v>
      </c>
      <c r="K379" s="10">
        <f t="shared" ref="K379" si="350">SQRT((F379-F377)^2+(H379-H377)^2)</f>
        <v>1.0156064838311847</v>
      </c>
      <c r="L379" s="10">
        <f t="shared" ref="L379" si="351">L377+K379</f>
        <v>383.75657693581962</v>
      </c>
      <c r="T379">
        <f>T377*3.2</f>
        <v>564.73344000000009</v>
      </c>
      <c r="V379">
        <f>T379/25.4</f>
        <v>22.233600000000006</v>
      </c>
    </row>
    <row r="380" spans="1:22" x14ac:dyDescent="0.35">
      <c r="A380" s="10">
        <v>383.75700000000001</v>
      </c>
      <c r="B380" s="2" t="s">
        <v>13</v>
      </c>
      <c r="C380" t="s">
        <v>55</v>
      </c>
      <c r="D380" t="s">
        <v>11</v>
      </c>
      <c r="E380" t="s">
        <v>56</v>
      </c>
      <c r="F380" s="10">
        <v>11.7745</v>
      </c>
      <c r="G380" s="10">
        <v>-0.50870000000000004</v>
      </c>
      <c r="H380" s="10">
        <v>383.43889999999999</v>
      </c>
      <c r="I380" s="10">
        <v>0</v>
      </c>
      <c r="K380" s="10"/>
      <c r="L380" s="10">
        <f t="shared" ref="L380" si="352">(L379+L381)/2</f>
        <v>383.75657693581962</v>
      </c>
    </row>
    <row r="381" spans="1:22" x14ac:dyDescent="0.35">
      <c r="A381" s="10">
        <v>383.75700000000001</v>
      </c>
      <c r="B381" s="2" t="s">
        <v>14</v>
      </c>
      <c r="C381" t="s">
        <v>55</v>
      </c>
      <c r="D381" t="s">
        <v>11</v>
      </c>
      <c r="E381" t="s">
        <v>56</v>
      </c>
      <c r="F381" s="10">
        <v>11.7745</v>
      </c>
      <c r="G381" s="10">
        <v>-0.50870000000000004</v>
      </c>
      <c r="H381" s="10">
        <v>383.43889999999999</v>
      </c>
      <c r="I381" s="10">
        <v>0</v>
      </c>
      <c r="K381" s="10">
        <f t="shared" ref="K381" si="353">SQRT((F381-F379)^2+(H381-H379)^2)</f>
        <v>0</v>
      </c>
      <c r="L381" s="10">
        <f t="shared" ref="L381" si="354">L379+K381</f>
        <v>383.75657693581962</v>
      </c>
    </row>
    <row r="382" spans="1:22" x14ac:dyDescent="0.35">
      <c r="A382" s="10"/>
      <c r="B382" s="2" t="s">
        <v>15</v>
      </c>
      <c r="C382" t="s">
        <v>15</v>
      </c>
      <c r="D382" t="s">
        <v>15</v>
      </c>
      <c r="E382" t="s">
        <v>15</v>
      </c>
      <c r="F382" s="10"/>
      <c r="G382" s="10"/>
      <c r="H382" s="10"/>
      <c r="I382" s="10"/>
      <c r="K382" s="10"/>
      <c r="L382" s="10"/>
    </row>
    <row r="383" spans="1:22" x14ac:dyDescent="0.35">
      <c r="A383" s="10">
        <v>383.99900000000002</v>
      </c>
      <c r="B383" s="2" t="s">
        <v>9</v>
      </c>
      <c r="C383" t="s">
        <v>119</v>
      </c>
      <c r="D383" t="s">
        <v>11</v>
      </c>
      <c r="E383" t="s">
        <v>24</v>
      </c>
      <c r="F383" s="10">
        <v>11.789300000000001</v>
      </c>
      <c r="G383" s="10">
        <v>-0.50829999999999997</v>
      </c>
      <c r="H383" s="10">
        <v>383.67970000000003</v>
      </c>
      <c r="I383" s="10">
        <v>0</v>
      </c>
      <c r="K383" s="10">
        <f t="shared" ref="K383" si="355">SQRT((F383-F381)^2+(H383-H381)^2)</f>
        <v>0.24125438856115591</v>
      </c>
      <c r="L383" s="10">
        <f t="shared" ref="L383" si="356">L381+K383</f>
        <v>383.9978313243808</v>
      </c>
    </row>
    <row r="384" spans="1:22" x14ac:dyDescent="0.35">
      <c r="A384" s="10">
        <v>383.99900000000002</v>
      </c>
      <c r="B384" s="2" t="s">
        <v>13</v>
      </c>
      <c r="C384" t="s">
        <v>119</v>
      </c>
      <c r="D384" t="s">
        <v>11</v>
      </c>
      <c r="E384" t="s">
        <v>24</v>
      </c>
      <c r="F384" s="10">
        <v>11.789300000000001</v>
      </c>
      <c r="G384" s="10">
        <v>-0.50829999999999997</v>
      </c>
      <c r="H384" s="10">
        <v>383.67970000000003</v>
      </c>
      <c r="I384" s="10">
        <v>0</v>
      </c>
      <c r="K384" s="10"/>
      <c r="L384" s="10">
        <f t="shared" ref="L384" si="357">(L383+L385)/2</f>
        <v>383.9978313243808</v>
      </c>
    </row>
    <row r="385" spans="1:12" x14ac:dyDescent="0.35">
      <c r="A385" s="10">
        <v>383.99900000000002</v>
      </c>
      <c r="B385" s="2" t="s">
        <v>14</v>
      </c>
      <c r="C385" t="s">
        <v>119</v>
      </c>
      <c r="D385" t="s">
        <v>11</v>
      </c>
      <c r="E385" t="s">
        <v>24</v>
      </c>
      <c r="F385" s="10">
        <v>11.789300000000001</v>
      </c>
      <c r="G385" s="10">
        <v>-0.50829999999999997</v>
      </c>
      <c r="H385" s="10">
        <v>383.67970000000003</v>
      </c>
      <c r="I385" s="10">
        <v>0</v>
      </c>
      <c r="K385" s="10">
        <f t="shared" ref="K385" si="358">SQRT((F385-F383)^2+(H385-H383)^2)</f>
        <v>0</v>
      </c>
      <c r="L385" s="10">
        <f t="shared" ref="L385" si="359">L383+K385</f>
        <v>383.9978313243808</v>
      </c>
    </row>
    <row r="386" spans="1:12" x14ac:dyDescent="0.35">
      <c r="A386" s="10"/>
      <c r="B386" s="2" t="s">
        <v>15</v>
      </c>
      <c r="C386" t="s">
        <v>15</v>
      </c>
      <c r="D386" t="s">
        <v>15</v>
      </c>
      <c r="E386" t="s">
        <v>15</v>
      </c>
      <c r="F386" s="10"/>
      <c r="G386" s="10"/>
      <c r="H386" s="10"/>
      <c r="I386" s="10"/>
      <c r="K386" s="10"/>
      <c r="L386" s="10"/>
    </row>
    <row r="387" spans="1:12" x14ac:dyDescent="0.35">
      <c r="A387" s="10">
        <v>384.17599999999999</v>
      </c>
      <c r="B387" s="2" t="s">
        <v>9</v>
      </c>
      <c r="C387" t="s">
        <v>120</v>
      </c>
      <c r="D387" t="s">
        <v>43</v>
      </c>
      <c r="E387" t="s">
        <v>121</v>
      </c>
      <c r="F387" s="10">
        <v>11.8002</v>
      </c>
      <c r="G387" s="10">
        <v>-0.5081</v>
      </c>
      <c r="H387" s="10">
        <v>383.85719999999998</v>
      </c>
      <c r="I387" s="10">
        <v>0</v>
      </c>
      <c r="K387" s="10">
        <f t="shared" ref="K387" si="360">SQRT((F387-F385)^2+(H387-H385)^2)</f>
        <v>0.17783436113412682</v>
      </c>
      <c r="L387" s="10">
        <f t="shared" ref="L387" si="361">L385+K387</f>
        <v>384.1756656855149</v>
      </c>
    </row>
    <row r="388" spans="1:12" x14ac:dyDescent="0.35">
      <c r="A388" s="10">
        <v>384.23649999999998</v>
      </c>
      <c r="B388" s="2" t="s">
        <v>13</v>
      </c>
      <c r="C388" t="s">
        <v>120</v>
      </c>
      <c r="D388" t="s">
        <v>43</v>
      </c>
      <c r="E388" t="s">
        <v>121</v>
      </c>
      <c r="F388" s="10">
        <v>11.803900000000001</v>
      </c>
      <c r="G388" s="10">
        <v>-0.50800000000000001</v>
      </c>
      <c r="H388" s="10">
        <v>383.91739999999999</v>
      </c>
      <c r="I388" s="10">
        <v>0</v>
      </c>
      <c r="K388" s="10"/>
      <c r="L388" s="10">
        <f t="shared" ref="L388" si="362">(L387+L389)/2</f>
        <v>384.23597928265519</v>
      </c>
    </row>
    <row r="389" spans="1:12" x14ac:dyDescent="0.35">
      <c r="A389" s="10">
        <v>384.29700000000003</v>
      </c>
      <c r="B389" s="2" t="s">
        <v>14</v>
      </c>
      <c r="C389" t="s">
        <v>120</v>
      </c>
      <c r="D389" t="s">
        <v>43</v>
      </c>
      <c r="E389" t="s">
        <v>121</v>
      </c>
      <c r="F389" s="10">
        <v>11.807600000000001</v>
      </c>
      <c r="G389" s="10">
        <v>-0.50790000000000002</v>
      </c>
      <c r="H389" s="10">
        <v>383.9776</v>
      </c>
      <c r="I389" s="10">
        <v>0</v>
      </c>
      <c r="K389" s="10">
        <f t="shared" ref="K389" si="363">SQRT((F389-F387)^2+(H389-H387)^2)</f>
        <v>0.12062719428057796</v>
      </c>
      <c r="L389" s="10">
        <f t="shared" ref="L389" si="364">L387+K389</f>
        <v>384.29629287979549</v>
      </c>
    </row>
    <row r="390" spans="1:12" x14ac:dyDescent="0.35">
      <c r="A390" s="10"/>
      <c r="B390" s="2" t="s">
        <v>15</v>
      </c>
      <c r="C390" t="s">
        <v>15</v>
      </c>
      <c r="D390" t="s">
        <v>15</v>
      </c>
      <c r="E390" t="s">
        <v>15</v>
      </c>
      <c r="F390" s="10"/>
      <c r="G390" s="10"/>
      <c r="H390" s="10"/>
      <c r="I390" s="10"/>
      <c r="K390" s="10"/>
      <c r="L390" s="10"/>
    </row>
    <row r="391" spans="1:12" x14ac:dyDescent="0.35">
      <c r="A391" s="10">
        <v>385.21100000000001</v>
      </c>
      <c r="B391" s="2" t="s">
        <v>9</v>
      </c>
      <c r="C391" s="27" t="s">
        <v>122</v>
      </c>
      <c r="D391" t="s">
        <v>43</v>
      </c>
      <c r="E391" t="s">
        <v>62</v>
      </c>
      <c r="F391" s="10">
        <v>11.8636</v>
      </c>
      <c r="G391" s="10">
        <v>-0.50660000000000005</v>
      </c>
      <c r="H391" s="10">
        <v>384.89030000000002</v>
      </c>
      <c r="I391" s="10">
        <v>0</v>
      </c>
      <c r="K391" s="10">
        <f t="shared" ref="K391" si="365">SQRT((F391-F389)^2+(H391-H389)^2)</f>
        <v>0.91441636577658292</v>
      </c>
      <c r="L391" s="10">
        <f t="shared" ref="L391" si="366">L389+K391</f>
        <v>385.21070924557205</v>
      </c>
    </row>
    <row r="392" spans="1:12" x14ac:dyDescent="0.35">
      <c r="A392" s="10">
        <v>385.36349999999999</v>
      </c>
      <c r="B392" s="2" t="s">
        <v>13</v>
      </c>
      <c r="C392" s="27" t="s">
        <v>122</v>
      </c>
      <c r="D392" t="s">
        <v>43</v>
      </c>
      <c r="E392" t="s">
        <v>62</v>
      </c>
      <c r="F392" s="10">
        <v>11.872949999999999</v>
      </c>
      <c r="G392" s="10">
        <v>-0.50639999999999996</v>
      </c>
      <c r="H392" s="10">
        <v>385.04239999999999</v>
      </c>
      <c r="I392" s="10">
        <v>0</v>
      </c>
      <c r="K392" s="10"/>
      <c r="L392" s="10">
        <f t="shared" ref="L392" si="367">(L391+L393)/2</f>
        <v>385.36309635952853</v>
      </c>
    </row>
    <row r="393" spans="1:12" x14ac:dyDescent="0.35">
      <c r="A393" s="10">
        <v>385.51600000000002</v>
      </c>
      <c r="B393" s="2" t="s">
        <v>14</v>
      </c>
      <c r="C393" s="27" t="s">
        <v>122</v>
      </c>
      <c r="D393" t="s">
        <v>43</v>
      </c>
      <c r="E393" t="s">
        <v>62</v>
      </c>
      <c r="F393" s="10">
        <v>11.882300000000001</v>
      </c>
      <c r="G393" s="10">
        <v>-0.50619999999999998</v>
      </c>
      <c r="H393" s="10">
        <v>385.19450000000001</v>
      </c>
      <c r="I393" s="10">
        <v>0</v>
      </c>
      <c r="K393" s="10">
        <f t="shared" ref="K393" si="368">SQRT((F393-F391)^2+(H393-H391)^2)</f>
        <v>0.30477422791303732</v>
      </c>
      <c r="L393" s="10">
        <f t="shared" ref="L393" si="369">L391+K393</f>
        <v>385.51548347348506</v>
      </c>
    </row>
    <row r="394" spans="1:12" x14ac:dyDescent="0.35">
      <c r="A394" s="10"/>
      <c r="B394" s="2" t="s">
        <v>15</v>
      </c>
      <c r="C394" t="s">
        <v>15</v>
      </c>
      <c r="D394" t="s">
        <v>15</v>
      </c>
      <c r="E394" t="s">
        <v>15</v>
      </c>
      <c r="F394" s="10"/>
      <c r="G394" s="10"/>
      <c r="H394" s="10"/>
      <c r="I394" s="10"/>
      <c r="K394" s="10"/>
      <c r="L394" s="10"/>
    </row>
    <row r="395" spans="1:12" x14ac:dyDescent="0.35">
      <c r="A395" s="10">
        <v>385.82100000000003</v>
      </c>
      <c r="B395" s="2" t="s">
        <v>9</v>
      </c>
      <c r="C395" t="s">
        <v>123</v>
      </c>
      <c r="D395" t="s">
        <v>11</v>
      </c>
      <c r="E395" t="s">
        <v>56</v>
      </c>
      <c r="F395" s="10">
        <v>11.901</v>
      </c>
      <c r="G395" s="10">
        <v>-0.50580000000000003</v>
      </c>
      <c r="H395" s="10">
        <v>385.49869999999999</v>
      </c>
      <c r="I395" s="10">
        <v>0</v>
      </c>
      <c r="K395" s="10">
        <f t="shared" ref="K395" si="370">SQRT((F395-F393)^2+(H395-H393)^2)</f>
        <v>0.30477422791303721</v>
      </c>
      <c r="L395" s="10">
        <f t="shared" ref="L395" si="371">L393+K395</f>
        <v>385.82025770139808</v>
      </c>
    </row>
    <row r="396" spans="1:12" x14ac:dyDescent="0.35">
      <c r="A396" s="10">
        <v>385.82100000000003</v>
      </c>
      <c r="B396" s="2" t="s">
        <v>13</v>
      </c>
      <c r="C396" t="s">
        <v>123</v>
      </c>
      <c r="D396" t="s">
        <v>11</v>
      </c>
      <c r="E396" t="s">
        <v>56</v>
      </c>
      <c r="F396" s="10">
        <v>11.901</v>
      </c>
      <c r="G396" s="10">
        <v>-0.50580000000000003</v>
      </c>
      <c r="H396" s="10">
        <v>385.49869999999999</v>
      </c>
      <c r="I396" s="10">
        <v>0</v>
      </c>
      <c r="K396" s="10"/>
      <c r="L396" s="10">
        <f t="shared" ref="L396" si="372">(L395+L397)/2</f>
        <v>385.82025770139808</v>
      </c>
    </row>
    <row r="397" spans="1:12" x14ac:dyDescent="0.35">
      <c r="A397" s="10">
        <v>385.82100000000003</v>
      </c>
      <c r="B397" s="2" t="s">
        <v>14</v>
      </c>
      <c r="C397" t="s">
        <v>123</v>
      </c>
      <c r="D397" t="s">
        <v>11</v>
      </c>
      <c r="E397" t="s">
        <v>56</v>
      </c>
      <c r="F397" s="10">
        <v>11.901</v>
      </c>
      <c r="G397" s="10">
        <v>-0.50580000000000003</v>
      </c>
      <c r="H397" s="10">
        <v>385.49869999999999</v>
      </c>
      <c r="I397" s="10">
        <v>0</v>
      </c>
      <c r="K397" s="10">
        <f t="shared" ref="K397" si="373">SQRT((F397-F395)^2+(H397-H395)^2)</f>
        <v>0</v>
      </c>
      <c r="L397" s="10">
        <f t="shared" ref="L397" si="374">L395+K397</f>
        <v>385.82025770139808</v>
      </c>
    </row>
    <row r="398" spans="1:12" x14ac:dyDescent="0.35">
      <c r="A398" s="10"/>
      <c r="B398" s="2" t="s">
        <v>15</v>
      </c>
      <c r="C398" t="s">
        <v>15</v>
      </c>
      <c r="D398" t="s">
        <v>15</v>
      </c>
      <c r="E398" t="s">
        <v>15</v>
      </c>
      <c r="F398" s="10"/>
      <c r="G398" s="10"/>
      <c r="H398" s="10"/>
      <c r="I398" s="10"/>
      <c r="K398" s="10"/>
      <c r="L398" s="10"/>
    </row>
    <row r="399" spans="1:12" x14ac:dyDescent="0.35">
      <c r="A399" s="10">
        <v>387.80200000000002</v>
      </c>
      <c r="B399" s="2" t="s">
        <v>9</v>
      </c>
      <c r="C399" t="s">
        <v>124</v>
      </c>
      <c r="D399" t="s">
        <v>66</v>
      </c>
      <c r="E399" t="s">
        <v>67</v>
      </c>
      <c r="F399" s="10">
        <v>12.022399999999999</v>
      </c>
      <c r="G399" s="10">
        <v>-0.503</v>
      </c>
      <c r="H399" s="10">
        <v>387.476</v>
      </c>
      <c r="I399" s="10">
        <v>0</v>
      </c>
      <c r="K399" s="10">
        <f t="shared" ref="K399" si="375">SQRT((F399-F397)^2+(H399-H397)^2)</f>
        <v>1.9810232835582862</v>
      </c>
      <c r="L399" s="10">
        <f t="shared" ref="L399" si="376">L397+K399</f>
        <v>387.80128098495635</v>
      </c>
    </row>
    <row r="400" spans="1:12" x14ac:dyDescent="0.35">
      <c r="A400" s="10">
        <v>389.32600000000002</v>
      </c>
      <c r="B400" s="2" t="s">
        <v>13</v>
      </c>
      <c r="C400" t="s">
        <v>124</v>
      </c>
      <c r="D400" t="s">
        <v>66</v>
      </c>
      <c r="E400" t="s">
        <v>67</v>
      </c>
      <c r="F400" s="10">
        <v>12.11585</v>
      </c>
      <c r="G400" s="10">
        <v>-0.50085000000000002</v>
      </c>
      <c r="H400" s="10">
        <v>388.99714999999998</v>
      </c>
      <c r="I400" s="10">
        <v>0</v>
      </c>
      <c r="K400" s="10"/>
      <c r="L400" s="10">
        <f t="shared" ref="L400" si="377">(L399+L401)/2</f>
        <v>389.32529877520687</v>
      </c>
    </row>
    <row r="401" spans="1:19" x14ac:dyDescent="0.35">
      <c r="A401" s="10">
        <v>390.85</v>
      </c>
      <c r="B401" s="2" t="s">
        <v>14</v>
      </c>
      <c r="C401" t="s">
        <v>124</v>
      </c>
      <c r="D401" t="s">
        <v>66</v>
      </c>
      <c r="E401" t="s">
        <v>67</v>
      </c>
      <c r="F401" s="10">
        <v>12.209300000000001</v>
      </c>
      <c r="G401" s="10">
        <v>-0.49869999999999998</v>
      </c>
      <c r="H401" s="10">
        <v>390.51830000000001</v>
      </c>
      <c r="I401" s="10">
        <v>0</v>
      </c>
      <c r="K401" s="10">
        <f t="shared" ref="K401" si="378">SQRT((F401-F399)^2+(H401-H399)^2)</f>
        <v>3.0480355805010007</v>
      </c>
      <c r="L401" s="10">
        <f t="shared" ref="L401" si="379">L399+K401</f>
        <v>390.84931656545734</v>
      </c>
    </row>
    <row r="402" spans="1:19" x14ac:dyDescent="0.35">
      <c r="A402" s="10"/>
      <c r="B402" s="2" t="s">
        <v>15</v>
      </c>
      <c r="C402" t="s">
        <v>15</v>
      </c>
      <c r="D402" t="s">
        <v>15</v>
      </c>
      <c r="E402" t="s">
        <v>15</v>
      </c>
      <c r="F402" s="10"/>
      <c r="G402" s="10"/>
      <c r="H402" s="10"/>
      <c r="I402" s="10"/>
      <c r="K402" s="10"/>
      <c r="L402" s="10"/>
    </row>
    <row r="403" spans="1:19" x14ac:dyDescent="0.35">
      <c r="A403" s="10">
        <v>391.154</v>
      </c>
      <c r="B403" s="2" t="s">
        <v>9</v>
      </c>
      <c r="C403" t="s">
        <v>125</v>
      </c>
      <c r="D403" t="s">
        <v>27</v>
      </c>
      <c r="E403" t="s">
        <v>70</v>
      </c>
      <c r="F403" s="10">
        <v>12.2279</v>
      </c>
      <c r="G403" s="10">
        <v>-0.49830000000000002</v>
      </c>
      <c r="H403" s="10">
        <v>390.82170000000002</v>
      </c>
      <c r="I403" s="10">
        <v>0</v>
      </c>
      <c r="K403" s="10">
        <f t="shared" ref="K403" si="380">SQRT((F403-F401)^2+(H403-H401)^2)</f>
        <v>0.3039696037435427</v>
      </c>
      <c r="L403" s="10">
        <f t="shared" ref="L403" si="381">L401+K403</f>
        <v>391.1532861692009</v>
      </c>
      <c r="Q403" s="10">
        <f>G403-G377</f>
        <v>1.1799999999999977E-2</v>
      </c>
      <c r="R403" s="10">
        <f>A403-A377</f>
        <v>8.4119999999999777</v>
      </c>
      <c r="S403">
        <f>Q403/R403</f>
        <v>1.4027579648121741E-3</v>
      </c>
    </row>
    <row r="404" spans="1:19" x14ac:dyDescent="0.35">
      <c r="A404" s="10">
        <v>392.678</v>
      </c>
      <c r="B404" s="2" t="s">
        <v>13</v>
      </c>
      <c r="C404" t="s">
        <v>125</v>
      </c>
      <c r="D404" t="s">
        <v>27</v>
      </c>
      <c r="E404" t="s">
        <v>70</v>
      </c>
      <c r="F404" s="10">
        <v>12.327400000000001</v>
      </c>
      <c r="G404" s="10">
        <v>-0.49614999999999998</v>
      </c>
      <c r="H404" s="10">
        <v>392.34244999999999</v>
      </c>
      <c r="I404" s="10">
        <v>0</v>
      </c>
      <c r="K404" s="10"/>
      <c r="L404" s="10">
        <f t="shared" ref="L404" si="382">(L403+L405)/2</f>
        <v>392.67728774810428</v>
      </c>
    </row>
    <row r="405" spans="1:19" x14ac:dyDescent="0.35">
      <c r="A405" s="10">
        <v>394.202</v>
      </c>
      <c r="B405" s="2" t="s">
        <v>14</v>
      </c>
      <c r="C405" t="s">
        <v>125</v>
      </c>
      <c r="D405" t="s">
        <v>27</v>
      </c>
      <c r="E405" t="s">
        <v>70</v>
      </c>
      <c r="F405" s="10">
        <v>12.4269</v>
      </c>
      <c r="G405" s="10">
        <v>-0.49399999999999999</v>
      </c>
      <c r="H405" s="10">
        <v>393.86320000000001</v>
      </c>
      <c r="I405" s="10">
        <v>0</v>
      </c>
      <c r="K405" s="10">
        <f t="shared" ref="K405" si="383">SQRT((F405-F403)^2+(H405-H403)^2)</f>
        <v>3.0480031578067481</v>
      </c>
      <c r="L405" s="10">
        <f t="shared" ref="L405" si="384">L403+K405</f>
        <v>394.20128932700766</v>
      </c>
    </row>
    <row r="406" spans="1:19" x14ac:dyDescent="0.35">
      <c r="A406" s="10"/>
      <c r="B406" s="2" t="s">
        <v>15</v>
      </c>
      <c r="C406" s="27" t="s">
        <v>478</v>
      </c>
      <c r="D406" t="s">
        <v>15</v>
      </c>
      <c r="E406" t="s">
        <v>15</v>
      </c>
      <c r="F406" s="10"/>
      <c r="G406" s="10"/>
      <c r="H406" s="10"/>
      <c r="I406" s="10"/>
      <c r="K406" s="10"/>
      <c r="L406" s="10"/>
      <c r="Q406">
        <f>(F407+F405)/2</f>
        <v>12.7858</v>
      </c>
      <c r="R406">
        <f>(G407+G405)/2</f>
        <v>-0.48675000000000002</v>
      </c>
      <c r="S406">
        <f>(H407+H405)/2</f>
        <v>399.03205000000003</v>
      </c>
    </row>
    <row r="407" spans="1:19" x14ac:dyDescent="0.35">
      <c r="A407" s="10">
        <v>404.565</v>
      </c>
      <c r="B407" s="2" t="s">
        <v>9</v>
      </c>
      <c r="C407" t="s">
        <v>126</v>
      </c>
      <c r="D407" t="s">
        <v>66</v>
      </c>
      <c r="E407" t="s">
        <v>67</v>
      </c>
      <c r="F407" s="10">
        <v>13.1447</v>
      </c>
      <c r="G407" s="10">
        <v>-0.47949999999999998</v>
      </c>
      <c r="H407" s="10">
        <v>404.20089999999999</v>
      </c>
      <c r="I407" s="10">
        <v>0</v>
      </c>
      <c r="K407" s="10">
        <f t="shared" ref="K407" si="385">SQRT((F407-F405)^2+(H407-H405)^2)</f>
        <v>10.36259031950987</v>
      </c>
      <c r="L407" s="10">
        <f t="shared" ref="L407" si="386">L405+K407</f>
        <v>404.56387964651753</v>
      </c>
    </row>
    <row r="408" spans="1:19" x14ac:dyDescent="0.35">
      <c r="A408" s="10">
        <v>406.089</v>
      </c>
      <c r="B408" s="2" t="s">
        <v>13</v>
      </c>
      <c r="C408" t="s">
        <v>126</v>
      </c>
      <c r="D408" t="s">
        <v>66</v>
      </c>
      <c r="E408" t="s">
        <v>67</v>
      </c>
      <c r="F408" s="10">
        <v>13.250299999999999</v>
      </c>
      <c r="G408" s="10">
        <v>-0.47735</v>
      </c>
      <c r="H408" s="10">
        <v>405.72125</v>
      </c>
      <c r="I408" s="10">
        <v>0</v>
      </c>
      <c r="K408" s="10"/>
      <c r="L408" s="10">
        <f t="shared" ref="L408" si="387">(L407+L409)/2</f>
        <v>406.08789260003857</v>
      </c>
    </row>
    <row r="409" spans="1:19" x14ac:dyDescent="0.35">
      <c r="A409" s="10">
        <v>407.613</v>
      </c>
      <c r="B409" s="2" t="s">
        <v>14</v>
      </c>
      <c r="C409" t="s">
        <v>126</v>
      </c>
      <c r="D409" t="s">
        <v>66</v>
      </c>
      <c r="E409" t="s">
        <v>67</v>
      </c>
      <c r="F409" s="10">
        <v>13.3559</v>
      </c>
      <c r="G409" s="10">
        <v>-0.47520000000000001</v>
      </c>
      <c r="H409" s="10">
        <v>407.24160000000001</v>
      </c>
      <c r="I409" s="10">
        <v>0</v>
      </c>
      <c r="K409" s="10">
        <f t="shared" ref="K409" si="388">SQRT((F409-F407)^2+(H409-H407)^2)</f>
        <v>3.0480259070421454</v>
      </c>
      <c r="L409" s="10">
        <f t="shared" ref="L409" si="389">L407+K409</f>
        <v>407.61190555355967</v>
      </c>
    </row>
    <row r="410" spans="1:19" x14ac:dyDescent="0.35">
      <c r="A410" s="10"/>
      <c r="B410" s="2" t="s">
        <v>15</v>
      </c>
      <c r="C410" t="s">
        <v>15</v>
      </c>
      <c r="D410" t="s">
        <v>15</v>
      </c>
      <c r="E410" t="s">
        <v>15</v>
      </c>
      <c r="F410" s="10"/>
      <c r="G410" s="10"/>
      <c r="H410" s="10"/>
      <c r="I410" s="10"/>
      <c r="K410" s="10"/>
      <c r="L410" s="10"/>
    </row>
    <row r="411" spans="1:19" x14ac:dyDescent="0.35">
      <c r="A411" s="10">
        <v>408.22199999999998</v>
      </c>
      <c r="B411" s="2" t="s">
        <v>9</v>
      </c>
      <c r="C411" t="s">
        <v>127</v>
      </c>
      <c r="D411" t="s">
        <v>27</v>
      </c>
      <c r="E411" t="s">
        <v>70</v>
      </c>
      <c r="F411" s="10">
        <v>13.398099999999999</v>
      </c>
      <c r="G411" s="10">
        <v>-0.47439999999999999</v>
      </c>
      <c r="H411" s="10">
        <v>407.84890000000001</v>
      </c>
      <c r="I411" s="10">
        <v>0</v>
      </c>
      <c r="K411" s="10">
        <f t="shared" ref="K411" si="390">SQRT((F411-F409)^2+(H411-H409)^2)</f>
        <v>0.60876442898711747</v>
      </c>
      <c r="L411" s="10">
        <f t="shared" ref="L411" si="391">L409+K411</f>
        <v>408.22066998254678</v>
      </c>
    </row>
    <row r="412" spans="1:19" x14ac:dyDescent="0.35">
      <c r="A412" s="10">
        <v>409.74599999999998</v>
      </c>
      <c r="B412" s="2" t="s">
        <v>13</v>
      </c>
      <c r="C412" t="s">
        <v>127</v>
      </c>
      <c r="D412" t="s">
        <v>27</v>
      </c>
      <c r="E412" t="s">
        <v>70</v>
      </c>
      <c r="F412" s="10">
        <v>13.50975</v>
      </c>
      <c r="G412" s="10">
        <v>-0.47225</v>
      </c>
      <c r="H412" s="10">
        <v>409.36880000000002</v>
      </c>
      <c r="I412" s="10">
        <v>0</v>
      </c>
      <c r="K412" s="10"/>
      <c r="L412" s="10">
        <f t="shared" ref="L412" si="392">(L411+L413)/2</f>
        <v>409.74466530160123</v>
      </c>
    </row>
    <row r="413" spans="1:19" x14ac:dyDescent="0.35">
      <c r="A413" s="10">
        <v>411.27</v>
      </c>
      <c r="B413" s="2" t="s">
        <v>14</v>
      </c>
      <c r="C413" t="s">
        <v>127</v>
      </c>
      <c r="D413" t="s">
        <v>27</v>
      </c>
      <c r="E413" t="s">
        <v>70</v>
      </c>
      <c r="F413" s="10">
        <v>13.6214</v>
      </c>
      <c r="G413" s="10">
        <v>-0.47010000000000002</v>
      </c>
      <c r="H413" s="10">
        <v>410.88869999999997</v>
      </c>
      <c r="I413" s="10">
        <v>0</v>
      </c>
      <c r="K413" s="10">
        <f t="shared" ref="K413" si="393">SQRT((F413-F411)^2+(H413-H411)^2)</f>
        <v>3.0479906381089394</v>
      </c>
      <c r="L413" s="10">
        <f t="shared" ref="L413" si="394">L411+K413</f>
        <v>411.26866062065574</v>
      </c>
    </row>
    <row r="414" spans="1:19" x14ac:dyDescent="0.35">
      <c r="A414" s="10"/>
      <c r="B414" s="2" t="s">
        <v>15</v>
      </c>
      <c r="C414" t="s">
        <v>15</v>
      </c>
      <c r="D414" t="s">
        <v>15</v>
      </c>
      <c r="E414" t="s">
        <v>15</v>
      </c>
      <c r="F414" s="10"/>
      <c r="G414" s="10"/>
      <c r="H414" s="10"/>
      <c r="I414" s="10"/>
      <c r="K414" s="10"/>
      <c r="L414" s="10"/>
    </row>
    <row r="415" spans="1:19" x14ac:dyDescent="0.35">
      <c r="A415" s="10">
        <v>411.92899999999997</v>
      </c>
      <c r="B415" s="2" t="s">
        <v>9</v>
      </c>
      <c r="C415" t="s">
        <v>128</v>
      </c>
      <c r="D415" t="s">
        <v>66</v>
      </c>
      <c r="E415" t="s">
        <v>67</v>
      </c>
      <c r="F415" s="10">
        <v>13.6723</v>
      </c>
      <c r="G415" s="10">
        <v>-0.46910000000000002</v>
      </c>
      <c r="H415" s="10">
        <v>411.54640000000001</v>
      </c>
      <c r="I415" s="10">
        <v>0</v>
      </c>
      <c r="K415" s="10">
        <f t="shared" ref="K415" si="395">SQRT((F415-F413)^2+(H415-H413)^2)</f>
        <v>0.65966665824493864</v>
      </c>
      <c r="L415" s="10">
        <f t="shared" ref="L415" si="396">L413+K415</f>
        <v>411.92832727890067</v>
      </c>
    </row>
    <row r="416" spans="1:19" x14ac:dyDescent="0.35">
      <c r="A416" s="10">
        <v>413.45299999999997</v>
      </c>
      <c r="B416" s="2" t="s">
        <v>13</v>
      </c>
      <c r="C416" t="s">
        <v>128</v>
      </c>
      <c r="D416" t="s">
        <v>66</v>
      </c>
      <c r="E416" t="s">
        <v>67</v>
      </c>
      <c r="F416" s="10">
        <v>13.790050000000001</v>
      </c>
      <c r="G416" s="10">
        <v>-0.46700000000000003</v>
      </c>
      <c r="H416" s="10">
        <v>413.06580000000002</v>
      </c>
      <c r="I416" s="10">
        <v>0</v>
      </c>
      <c r="K416" s="10"/>
      <c r="L416" s="10">
        <f t="shared" ref="L416" si="397">(L415+L417)/2</f>
        <v>413.45228312553797</v>
      </c>
    </row>
    <row r="417" spans="1:12" x14ac:dyDescent="0.35">
      <c r="A417" s="10">
        <v>414.97699999999998</v>
      </c>
      <c r="B417" s="2" t="s">
        <v>14</v>
      </c>
      <c r="C417" t="s">
        <v>128</v>
      </c>
      <c r="D417" t="s">
        <v>66</v>
      </c>
      <c r="E417" t="s">
        <v>67</v>
      </c>
      <c r="F417" s="10">
        <v>13.9078</v>
      </c>
      <c r="G417" s="10">
        <v>-0.46489999999999998</v>
      </c>
      <c r="H417" s="10">
        <v>414.58519999999999</v>
      </c>
      <c r="I417" s="10">
        <v>0</v>
      </c>
      <c r="K417" s="10">
        <f t="shared" ref="K417" si="398">SQRT((F417-F415)^2+(H417-H415)^2)</f>
        <v>3.0479116932745742</v>
      </c>
      <c r="L417" s="10">
        <f t="shared" ref="L417" si="399">L415+K417</f>
        <v>414.97623897217522</v>
      </c>
    </row>
    <row r="418" spans="1:12" x14ac:dyDescent="0.35">
      <c r="A418" s="10"/>
      <c r="B418" s="2" t="s">
        <v>15</v>
      </c>
      <c r="C418" t="s">
        <v>15</v>
      </c>
      <c r="D418" t="s">
        <v>15</v>
      </c>
      <c r="E418" t="s">
        <v>15</v>
      </c>
      <c r="F418" s="10"/>
      <c r="G418" s="10"/>
      <c r="H418" s="10"/>
      <c r="I418" s="10"/>
      <c r="K418" s="10"/>
      <c r="L418" s="10"/>
    </row>
    <row r="419" spans="1:12" x14ac:dyDescent="0.35">
      <c r="A419" s="10">
        <v>417.44</v>
      </c>
      <c r="B419" s="2" t="s">
        <v>9</v>
      </c>
      <c r="C419" t="s">
        <v>129</v>
      </c>
      <c r="D419" t="s">
        <v>100</v>
      </c>
      <c r="E419" t="s">
        <v>77</v>
      </c>
      <c r="F419" s="10">
        <v>14.098100000000001</v>
      </c>
      <c r="G419" s="10">
        <v>-0.46139999999999998</v>
      </c>
      <c r="H419" s="10">
        <v>417.04109999999997</v>
      </c>
      <c r="I419" s="10">
        <v>0</v>
      </c>
      <c r="K419" s="10">
        <f t="shared" ref="K419" si="400">SQRT((F419-F417)^2+(H419-H417)^2)</f>
        <v>2.463261841542618</v>
      </c>
      <c r="L419" s="10">
        <f t="shared" ref="L419" si="401">L417+K419</f>
        <v>417.43950081371781</v>
      </c>
    </row>
    <row r="420" spans="1:12" x14ac:dyDescent="0.35">
      <c r="A420" s="10">
        <v>417.82100000000003</v>
      </c>
      <c r="B420" s="2" t="s">
        <v>13</v>
      </c>
      <c r="C420" t="s">
        <v>129</v>
      </c>
      <c r="D420" t="s">
        <v>100</v>
      </c>
      <c r="E420" t="s">
        <v>77</v>
      </c>
      <c r="F420" s="10">
        <v>14.127549999999999</v>
      </c>
      <c r="G420" s="10">
        <v>-0.46084999999999998</v>
      </c>
      <c r="H420" s="10">
        <v>417.42095</v>
      </c>
      <c r="I420" s="10">
        <v>0</v>
      </c>
      <c r="K420" s="10"/>
      <c r="L420" s="10">
        <f t="shared" ref="L420" si="402">(L419+L421)/2</f>
        <v>417.82049074140616</v>
      </c>
    </row>
    <row r="421" spans="1:12" x14ac:dyDescent="0.35">
      <c r="A421" s="10">
        <v>418.202</v>
      </c>
      <c r="B421" s="2" t="s">
        <v>14</v>
      </c>
      <c r="C421" t="s">
        <v>129</v>
      </c>
      <c r="D421" t="s">
        <v>100</v>
      </c>
      <c r="E421" t="s">
        <v>77</v>
      </c>
      <c r="F421" s="10">
        <v>14.157</v>
      </c>
      <c r="G421" s="10">
        <v>-0.46029999999999999</v>
      </c>
      <c r="H421" s="10">
        <v>417.80079999999998</v>
      </c>
      <c r="I421" s="10">
        <v>0</v>
      </c>
      <c r="K421" s="10">
        <f t="shared" ref="K421" si="403">SQRT((F421-F419)^2+(H421-H419)^2)</f>
        <v>0.76197985537677704</v>
      </c>
      <c r="L421" s="10">
        <f t="shared" ref="L421" si="404">L419+K421</f>
        <v>418.20148066909456</v>
      </c>
    </row>
    <row r="422" spans="1:12" x14ac:dyDescent="0.35">
      <c r="A422" s="10"/>
      <c r="B422" s="2" t="s">
        <v>15</v>
      </c>
      <c r="C422" t="s">
        <v>15</v>
      </c>
      <c r="D422" t="s">
        <v>15</v>
      </c>
      <c r="E422" t="s">
        <v>15</v>
      </c>
      <c r="F422" s="10"/>
      <c r="G422" s="10"/>
      <c r="H422" s="10"/>
      <c r="I422" s="10"/>
      <c r="K422" s="10"/>
      <c r="L422" s="10"/>
    </row>
    <row r="423" spans="1:12" x14ac:dyDescent="0.35">
      <c r="A423" s="10">
        <v>421.673</v>
      </c>
      <c r="B423" s="2" t="s">
        <v>9</v>
      </c>
      <c r="C423" t="s">
        <v>130</v>
      </c>
      <c r="D423" t="s">
        <v>11</v>
      </c>
      <c r="E423" t="s">
        <v>24</v>
      </c>
      <c r="F423" s="10">
        <v>14.4251</v>
      </c>
      <c r="G423" s="10">
        <v>-0.45550000000000002</v>
      </c>
      <c r="H423" s="10">
        <v>421.2611</v>
      </c>
      <c r="I423" s="10">
        <v>0</v>
      </c>
      <c r="K423" s="10">
        <f t="shared" ref="K423" si="405">SQRT((F423-F421)^2+(H423-H421)^2)</f>
        <v>3.4706704971806417</v>
      </c>
      <c r="L423" s="10">
        <f t="shared" ref="L423" si="406">L421+K423</f>
        <v>421.67215116627523</v>
      </c>
    </row>
    <row r="424" spans="1:12" x14ac:dyDescent="0.35">
      <c r="A424" s="10">
        <v>421.673</v>
      </c>
      <c r="B424" s="2" t="s">
        <v>13</v>
      </c>
      <c r="C424" t="s">
        <v>130</v>
      </c>
      <c r="D424" t="s">
        <v>11</v>
      </c>
      <c r="E424" t="s">
        <v>24</v>
      </c>
      <c r="F424" s="10">
        <v>14.4251</v>
      </c>
      <c r="G424" s="10">
        <v>-0.45550000000000002</v>
      </c>
      <c r="H424" s="10">
        <v>421.2611</v>
      </c>
      <c r="I424" s="10">
        <v>0</v>
      </c>
      <c r="K424" s="10"/>
      <c r="L424" s="10">
        <f t="shared" ref="L424" si="407">(L423+L425)/2</f>
        <v>421.67215116627523</v>
      </c>
    </row>
    <row r="425" spans="1:12" x14ac:dyDescent="0.35">
      <c r="A425" s="10">
        <v>421.673</v>
      </c>
      <c r="B425" s="2" t="s">
        <v>14</v>
      </c>
      <c r="C425" t="s">
        <v>130</v>
      </c>
      <c r="D425" t="s">
        <v>11</v>
      </c>
      <c r="E425" t="s">
        <v>24</v>
      </c>
      <c r="F425" s="10">
        <v>14.4251</v>
      </c>
      <c r="G425" s="10">
        <v>-0.45550000000000002</v>
      </c>
      <c r="H425" s="10">
        <v>421.2611</v>
      </c>
      <c r="I425" s="10">
        <v>0</v>
      </c>
      <c r="K425" s="10">
        <f t="shared" ref="K425" si="408">SQRT((F425-F423)^2+(H425-H423)^2)</f>
        <v>0</v>
      </c>
      <c r="L425" s="10">
        <f t="shared" ref="L425" si="409">L423+K425</f>
        <v>421.67215116627523</v>
      </c>
    </row>
    <row r="426" spans="1:12" x14ac:dyDescent="0.35">
      <c r="A426" s="10"/>
      <c r="B426" s="2" t="s">
        <v>15</v>
      </c>
      <c r="C426" t="s">
        <v>15</v>
      </c>
      <c r="D426" t="s">
        <v>15</v>
      </c>
      <c r="E426" t="s">
        <v>15</v>
      </c>
      <c r="F426" s="10"/>
      <c r="G426" s="10"/>
      <c r="H426" s="10"/>
      <c r="I426" s="10"/>
      <c r="K426" s="10"/>
      <c r="L426" s="10"/>
    </row>
    <row r="427" spans="1:12" x14ac:dyDescent="0.35">
      <c r="A427" s="10">
        <v>421.86200000000002</v>
      </c>
      <c r="B427" s="2" t="s">
        <v>9</v>
      </c>
      <c r="C427" t="s">
        <v>131</v>
      </c>
      <c r="D427" t="s">
        <v>11</v>
      </c>
      <c r="E427" t="s">
        <v>62</v>
      </c>
      <c r="F427" s="10">
        <v>14.4397</v>
      </c>
      <c r="G427" s="10">
        <v>-0.45519999999999999</v>
      </c>
      <c r="H427" s="10">
        <v>421.44929999999999</v>
      </c>
      <c r="I427" s="10">
        <v>0</v>
      </c>
      <c r="K427" s="10">
        <f t="shared" ref="K427" si="410">SQRT((F427-F425)^2+(H427-H425)^2)</f>
        <v>0.18876546294276939</v>
      </c>
      <c r="L427" s="10">
        <f t="shared" ref="L427" si="411">L425+K427</f>
        <v>421.86091662921802</v>
      </c>
    </row>
    <row r="428" spans="1:12" x14ac:dyDescent="0.35">
      <c r="A428" s="10">
        <v>421.86200000000002</v>
      </c>
      <c r="B428" s="2" t="s">
        <v>13</v>
      </c>
      <c r="C428" t="s">
        <v>131</v>
      </c>
      <c r="D428" t="s">
        <v>11</v>
      </c>
      <c r="E428" t="s">
        <v>62</v>
      </c>
      <c r="F428" s="10">
        <v>14.4397</v>
      </c>
      <c r="G428" s="10">
        <v>-0.45519999999999999</v>
      </c>
      <c r="H428" s="10">
        <v>421.44929999999999</v>
      </c>
      <c r="I428" s="10">
        <v>0</v>
      </c>
      <c r="K428" s="10"/>
      <c r="L428" s="10">
        <f t="shared" ref="L428" si="412">(L427+L429)/2</f>
        <v>421.86091662921802</v>
      </c>
    </row>
    <row r="429" spans="1:12" x14ac:dyDescent="0.35">
      <c r="A429" s="10">
        <v>421.86200000000002</v>
      </c>
      <c r="B429" s="2" t="s">
        <v>14</v>
      </c>
      <c r="C429" t="s">
        <v>131</v>
      </c>
      <c r="D429" t="s">
        <v>11</v>
      </c>
      <c r="E429" t="s">
        <v>62</v>
      </c>
      <c r="F429" s="10">
        <v>14.4397</v>
      </c>
      <c r="G429" s="10">
        <v>-0.45519999999999999</v>
      </c>
      <c r="H429" s="10">
        <v>421.44929999999999</v>
      </c>
      <c r="I429" s="10">
        <v>0</v>
      </c>
      <c r="K429" s="10">
        <f t="shared" ref="K429" si="413">SQRT((F429-F427)^2+(H429-H427)^2)</f>
        <v>0</v>
      </c>
      <c r="L429" s="10">
        <f t="shared" ref="L429" si="414">L427+K429</f>
        <v>421.86091662921802</v>
      </c>
    </row>
    <row r="430" spans="1:12" x14ac:dyDescent="0.35">
      <c r="A430" s="10"/>
      <c r="B430" s="2" t="s">
        <v>15</v>
      </c>
      <c r="C430" t="s">
        <v>15</v>
      </c>
      <c r="D430" t="s">
        <v>15</v>
      </c>
      <c r="E430" t="s">
        <v>15</v>
      </c>
      <c r="F430" s="10"/>
      <c r="G430" s="10"/>
      <c r="H430" s="10"/>
      <c r="I430" s="10"/>
      <c r="K430" s="10"/>
      <c r="L430" s="10"/>
    </row>
    <row r="431" spans="1:12" x14ac:dyDescent="0.35">
      <c r="A431" s="10">
        <v>427.88200000000001</v>
      </c>
      <c r="B431" s="2" t="s">
        <v>9</v>
      </c>
      <c r="C431" t="s">
        <v>132</v>
      </c>
      <c r="D431" t="s">
        <v>11</v>
      </c>
      <c r="E431" t="s">
        <v>35</v>
      </c>
      <c r="F431" s="10">
        <v>14.9047</v>
      </c>
      <c r="G431" s="10">
        <v>-0.44669999999999999</v>
      </c>
      <c r="H431" s="10">
        <v>427.4511</v>
      </c>
      <c r="I431" s="10">
        <v>0</v>
      </c>
      <c r="K431" s="10">
        <f t="shared" ref="K431" si="415">SQRT((F431-F429)^2+(H431-H429)^2)</f>
        <v>6.0197863948814687</v>
      </c>
      <c r="L431" s="10">
        <f t="shared" ref="L431" si="416">L429+K431</f>
        <v>427.88070302409949</v>
      </c>
    </row>
    <row r="432" spans="1:12" x14ac:dyDescent="0.35">
      <c r="A432" s="10">
        <v>427.88200000000001</v>
      </c>
      <c r="B432" s="2" t="s">
        <v>13</v>
      </c>
      <c r="C432" t="s">
        <v>132</v>
      </c>
      <c r="D432" t="s">
        <v>11</v>
      </c>
      <c r="E432" t="s">
        <v>35</v>
      </c>
      <c r="F432" s="10">
        <v>14.9047</v>
      </c>
      <c r="G432" s="10">
        <v>-0.44669999999999999</v>
      </c>
      <c r="H432" s="10">
        <v>427.4511</v>
      </c>
      <c r="I432" s="10">
        <v>0</v>
      </c>
      <c r="K432" s="10"/>
      <c r="L432" s="10">
        <f t="shared" ref="L432" si="417">(L431+L433)/2</f>
        <v>427.88070302409949</v>
      </c>
    </row>
    <row r="433" spans="1:12" x14ac:dyDescent="0.35">
      <c r="A433" s="10">
        <v>427.88200000000001</v>
      </c>
      <c r="B433" s="2" t="s">
        <v>14</v>
      </c>
      <c r="C433" t="s">
        <v>132</v>
      </c>
      <c r="D433" t="s">
        <v>11</v>
      </c>
      <c r="E433" t="s">
        <v>35</v>
      </c>
      <c r="F433" s="10">
        <v>14.9047</v>
      </c>
      <c r="G433" s="10">
        <v>-0.44669999999999999</v>
      </c>
      <c r="H433" s="10">
        <v>427.4511</v>
      </c>
      <c r="I433" s="10">
        <v>0</v>
      </c>
      <c r="K433" s="10">
        <f t="shared" ref="K433" si="418">SQRT((F433-F431)^2+(H433-H431)^2)</f>
        <v>0</v>
      </c>
      <c r="L433" s="10">
        <f t="shared" ref="L433" si="419">L431+K433</f>
        <v>427.88070302409949</v>
      </c>
    </row>
    <row r="434" spans="1:12" x14ac:dyDescent="0.35">
      <c r="A434" s="10"/>
      <c r="B434" s="2" t="s">
        <v>15</v>
      </c>
      <c r="C434" t="s">
        <v>15</v>
      </c>
      <c r="D434" t="s">
        <v>15</v>
      </c>
      <c r="E434" t="s">
        <v>15</v>
      </c>
      <c r="F434" s="10"/>
      <c r="G434" s="10"/>
      <c r="H434" s="10"/>
      <c r="I434" s="10"/>
      <c r="K434" s="10"/>
      <c r="L434" s="10"/>
    </row>
    <row r="435" spans="1:12" x14ac:dyDescent="0.35">
      <c r="A435" s="10">
        <v>427.88200000000001</v>
      </c>
      <c r="B435" s="2" t="s">
        <v>9</v>
      </c>
      <c r="C435" t="s">
        <v>133</v>
      </c>
      <c r="D435" t="s">
        <v>11</v>
      </c>
      <c r="E435" t="s">
        <v>19</v>
      </c>
      <c r="F435" s="10">
        <v>14.9047</v>
      </c>
      <c r="G435" s="10">
        <v>-0.44669999999999999</v>
      </c>
      <c r="H435" s="10">
        <v>427.4511</v>
      </c>
      <c r="I435" s="10">
        <v>0</v>
      </c>
      <c r="K435" s="10">
        <f t="shared" ref="K435" si="420">SQRT((F435-F433)^2+(H435-H433)^2)</f>
        <v>0</v>
      </c>
      <c r="L435" s="10">
        <f t="shared" ref="L435" si="421">L433+K435</f>
        <v>427.88070302409949</v>
      </c>
    </row>
    <row r="436" spans="1:12" x14ac:dyDescent="0.35">
      <c r="A436" s="10">
        <v>427.88200000000001</v>
      </c>
      <c r="B436" s="2" t="s">
        <v>13</v>
      </c>
      <c r="C436" t="s">
        <v>133</v>
      </c>
      <c r="D436" t="s">
        <v>11</v>
      </c>
      <c r="E436" t="s">
        <v>19</v>
      </c>
      <c r="F436" s="10">
        <v>14.9047</v>
      </c>
      <c r="G436" s="10">
        <v>-0.44669999999999999</v>
      </c>
      <c r="H436" s="10">
        <v>427.4511</v>
      </c>
      <c r="I436" s="10">
        <v>0</v>
      </c>
      <c r="K436" s="10"/>
      <c r="L436" s="10">
        <f t="shared" ref="L436" si="422">(L435+L437)/2</f>
        <v>427.88070302409949</v>
      </c>
    </row>
    <row r="437" spans="1:12" x14ac:dyDescent="0.35">
      <c r="A437" s="10">
        <v>427.88200000000001</v>
      </c>
      <c r="B437" s="2" t="s">
        <v>14</v>
      </c>
      <c r="C437" t="s">
        <v>133</v>
      </c>
      <c r="D437" t="s">
        <v>11</v>
      </c>
      <c r="E437" t="s">
        <v>19</v>
      </c>
      <c r="F437" s="10">
        <v>14.9047</v>
      </c>
      <c r="G437" s="10">
        <v>-0.44669999999999999</v>
      </c>
      <c r="H437" s="10">
        <v>427.4511</v>
      </c>
      <c r="I437" s="10">
        <v>0</v>
      </c>
      <c r="K437" s="10">
        <f t="shared" ref="K437" si="423">SQRT((F437-F435)^2+(H437-H435)^2)</f>
        <v>0</v>
      </c>
      <c r="L437" s="10">
        <f t="shared" ref="L437" si="424">L435+K437</f>
        <v>427.88070302409949</v>
      </c>
    </row>
    <row r="438" spans="1:12" x14ac:dyDescent="0.35">
      <c r="A438" s="10"/>
      <c r="B438" s="2" t="s">
        <v>15</v>
      </c>
      <c r="C438" t="s">
        <v>15</v>
      </c>
      <c r="D438" t="s">
        <v>15</v>
      </c>
      <c r="E438" t="s">
        <v>15</v>
      </c>
      <c r="F438" s="10"/>
      <c r="G438" s="10"/>
      <c r="H438" s="10"/>
      <c r="I438" s="10"/>
      <c r="K438" s="10"/>
      <c r="L438" s="10"/>
    </row>
    <row r="439" spans="1:12" x14ac:dyDescent="0.35">
      <c r="A439" s="10">
        <v>427.88200000000001</v>
      </c>
      <c r="B439" s="2" t="s">
        <v>9</v>
      </c>
      <c r="C439" t="s">
        <v>134</v>
      </c>
      <c r="D439" t="s">
        <v>11</v>
      </c>
      <c r="E439" t="s">
        <v>19</v>
      </c>
      <c r="F439" s="10">
        <v>14.9047</v>
      </c>
      <c r="G439" s="10">
        <v>-0.44669999999999999</v>
      </c>
      <c r="H439" s="10">
        <v>427.4511</v>
      </c>
      <c r="I439" s="10">
        <v>0</v>
      </c>
      <c r="K439" s="10">
        <f t="shared" ref="K439" si="425">SQRT((F439-F437)^2+(H439-H437)^2)</f>
        <v>0</v>
      </c>
      <c r="L439" s="10">
        <f t="shared" ref="L439" si="426">L437+K439</f>
        <v>427.88070302409949</v>
      </c>
    </row>
    <row r="440" spans="1:12" x14ac:dyDescent="0.35">
      <c r="A440" s="10">
        <v>427.88200000000001</v>
      </c>
      <c r="B440" s="2" t="s">
        <v>13</v>
      </c>
      <c r="C440" t="s">
        <v>134</v>
      </c>
      <c r="D440" t="s">
        <v>11</v>
      </c>
      <c r="E440" t="s">
        <v>19</v>
      </c>
      <c r="F440" s="10">
        <v>14.9047</v>
      </c>
      <c r="G440" s="10">
        <v>-0.44669999999999999</v>
      </c>
      <c r="H440" s="10">
        <v>427.4511</v>
      </c>
      <c r="I440" s="10">
        <v>0</v>
      </c>
      <c r="K440" s="10"/>
      <c r="L440" s="10">
        <f t="shared" ref="L440" si="427">(L439+L441)/2</f>
        <v>427.88070302409949</v>
      </c>
    </row>
    <row r="441" spans="1:12" x14ac:dyDescent="0.35">
      <c r="A441" s="10">
        <v>427.88200000000001</v>
      </c>
      <c r="B441" s="2" t="s">
        <v>14</v>
      </c>
      <c r="C441" t="s">
        <v>134</v>
      </c>
      <c r="D441" t="s">
        <v>11</v>
      </c>
      <c r="E441" t="s">
        <v>19</v>
      </c>
      <c r="F441" s="10">
        <v>14.9047</v>
      </c>
      <c r="G441" s="10">
        <v>-0.44669999999999999</v>
      </c>
      <c r="H441" s="10">
        <v>427.4511</v>
      </c>
      <c r="I441" s="10">
        <v>0</v>
      </c>
      <c r="K441" s="10">
        <f t="shared" ref="K441" si="428">SQRT((F441-F439)^2+(H441-H439)^2)</f>
        <v>0</v>
      </c>
      <c r="L441" s="10">
        <f t="shared" ref="L441" si="429">L439+K441</f>
        <v>427.88070302409949</v>
      </c>
    </row>
    <row r="442" spans="1:12" x14ac:dyDescent="0.35">
      <c r="A442" s="10"/>
      <c r="B442" s="2" t="s">
        <v>15</v>
      </c>
      <c r="C442" t="s">
        <v>15</v>
      </c>
      <c r="D442" t="s">
        <v>15</v>
      </c>
      <c r="E442" t="s">
        <v>15</v>
      </c>
      <c r="F442" s="10"/>
      <c r="G442" s="10"/>
      <c r="H442" s="10"/>
      <c r="I442" s="10"/>
      <c r="K442" s="10"/>
      <c r="L442" s="10"/>
    </row>
    <row r="443" spans="1:12" x14ac:dyDescent="0.35">
      <c r="A443" s="10">
        <v>427.94600000000003</v>
      </c>
      <c r="B443" s="2" t="s">
        <v>9</v>
      </c>
      <c r="C443" t="s">
        <v>135</v>
      </c>
      <c r="D443" t="s">
        <v>136</v>
      </c>
      <c r="E443" t="s">
        <v>77</v>
      </c>
      <c r="F443" s="10">
        <v>14.909700000000001</v>
      </c>
      <c r="G443" s="10">
        <v>-0.44669999999999999</v>
      </c>
      <c r="H443" s="10">
        <v>427.51499999999999</v>
      </c>
      <c r="I443" s="10">
        <v>0</v>
      </c>
      <c r="K443" s="10">
        <f t="shared" ref="K443" si="430">SQRT((F443-F441)^2+(H443-H441)^2)</f>
        <v>6.4095319641910536E-2</v>
      </c>
      <c r="L443" s="10">
        <f t="shared" ref="L443" si="431">L441+K443</f>
        <v>427.94479834374141</v>
      </c>
    </row>
    <row r="444" spans="1:12" x14ac:dyDescent="0.35">
      <c r="A444" s="10">
        <v>428.327</v>
      </c>
      <c r="B444" s="2" t="s">
        <v>13</v>
      </c>
      <c r="C444" t="s">
        <v>135</v>
      </c>
      <c r="D444" t="s">
        <v>136</v>
      </c>
      <c r="E444" t="s">
        <v>77</v>
      </c>
      <c r="F444" s="10">
        <v>14.9391</v>
      </c>
      <c r="G444" s="10">
        <v>-0.44614999999999999</v>
      </c>
      <c r="H444" s="10">
        <v>427.89485000000002</v>
      </c>
      <c r="I444" s="10">
        <v>0</v>
      </c>
      <c r="K444" s="10"/>
      <c r="L444" s="10">
        <f t="shared" ref="L444" si="432">(L443+L445)/2</f>
        <v>428.32578440975959</v>
      </c>
    </row>
    <row r="445" spans="1:12" x14ac:dyDescent="0.35">
      <c r="A445" s="10">
        <v>428.70800000000003</v>
      </c>
      <c r="B445" s="2" t="s">
        <v>14</v>
      </c>
      <c r="C445" t="s">
        <v>135</v>
      </c>
      <c r="D445" t="s">
        <v>136</v>
      </c>
      <c r="E445" t="s">
        <v>77</v>
      </c>
      <c r="F445" s="10">
        <v>14.968500000000001</v>
      </c>
      <c r="G445" s="10">
        <v>-0.4456</v>
      </c>
      <c r="H445" s="10">
        <v>428.2747</v>
      </c>
      <c r="I445" s="10">
        <v>0</v>
      </c>
      <c r="K445" s="10">
        <f t="shared" ref="K445" si="433">SQRT((F445-F443)^2+(H445-H443)^2)</f>
        <v>0.76197213203634562</v>
      </c>
      <c r="L445" s="10">
        <f t="shared" ref="L445" si="434">L443+K445</f>
        <v>428.70677047577777</v>
      </c>
    </row>
    <row r="446" spans="1:12" x14ac:dyDescent="0.35">
      <c r="A446" s="10"/>
      <c r="B446" s="2" t="s">
        <v>15</v>
      </c>
      <c r="C446" t="s">
        <v>15</v>
      </c>
      <c r="D446" t="s">
        <v>15</v>
      </c>
      <c r="E446" t="s">
        <v>15</v>
      </c>
      <c r="F446" s="10"/>
      <c r="G446" s="10"/>
      <c r="H446" s="10"/>
      <c r="I446" s="10"/>
      <c r="K446" s="10"/>
      <c r="L446" s="10"/>
    </row>
    <row r="447" spans="1:12" x14ac:dyDescent="0.35">
      <c r="A447" s="10">
        <v>429.62200000000001</v>
      </c>
      <c r="B447" s="2" t="s">
        <v>9</v>
      </c>
      <c r="C447" t="s">
        <v>137</v>
      </c>
      <c r="D447" t="s">
        <v>66</v>
      </c>
      <c r="E447" t="s">
        <v>67</v>
      </c>
      <c r="F447" s="10">
        <v>15.039099999999999</v>
      </c>
      <c r="G447" s="10">
        <v>-0.44429999999999997</v>
      </c>
      <c r="H447" s="10">
        <v>429.18599999999998</v>
      </c>
      <c r="I447" s="10">
        <v>0</v>
      </c>
      <c r="K447" s="10">
        <f t="shared" ref="K447" si="435">SQRT((F447-F445)^2+(H447-H445)^2)</f>
        <v>0.91403066141129452</v>
      </c>
      <c r="L447" s="10">
        <f t="shared" ref="L447" si="436">L445+K447</f>
        <v>429.62080113718906</v>
      </c>
    </row>
    <row r="448" spans="1:12" x14ac:dyDescent="0.35">
      <c r="A448" s="10">
        <v>431.14600000000002</v>
      </c>
      <c r="B448" s="2" t="s">
        <v>13</v>
      </c>
      <c r="C448" t="s">
        <v>137</v>
      </c>
      <c r="D448" t="s">
        <v>66</v>
      </c>
      <c r="E448" t="s">
        <v>67</v>
      </c>
      <c r="F448" s="10">
        <v>15.15685</v>
      </c>
      <c r="G448" s="10">
        <v>-0.44214999999999999</v>
      </c>
      <c r="H448" s="10">
        <v>430.70544999999998</v>
      </c>
      <c r="I448" s="10">
        <v>0</v>
      </c>
      <c r="K448" s="10"/>
      <c r="L448" s="10">
        <f t="shared" ref="L448" si="437">(L447+L449)/2</f>
        <v>431.14480683435693</v>
      </c>
    </row>
    <row r="449" spans="1:12" x14ac:dyDescent="0.35">
      <c r="A449" s="10">
        <v>432.67</v>
      </c>
      <c r="B449" s="2" t="s">
        <v>14</v>
      </c>
      <c r="C449" t="s">
        <v>137</v>
      </c>
      <c r="D449" t="s">
        <v>66</v>
      </c>
      <c r="E449" t="s">
        <v>67</v>
      </c>
      <c r="F449" s="10">
        <v>15.2746</v>
      </c>
      <c r="G449" s="10">
        <v>-0.44</v>
      </c>
      <c r="H449" s="10">
        <v>432.22489999999999</v>
      </c>
      <c r="I449" s="10">
        <v>0</v>
      </c>
      <c r="K449" s="10">
        <f t="shared" ref="K449" si="438">SQRT((F449-F447)^2+(H449-H447)^2)</f>
        <v>3.0480113943356697</v>
      </c>
      <c r="L449" s="10">
        <f t="shared" ref="L449" si="439">L447+K449</f>
        <v>432.66881253152474</v>
      </c>
    </row>
    <row r="450" spans="1:12" x14ac:dyDescent="0.35">
      <c r="A450" s="10"/>
      <c r="B450" s="2" t="s">
        <v>15</v>
      </c>
      <c r="C450" t="s">
        <v>15</v>
      </c>
      <c r="D450" t="s">
        <v>15</v>
      </c>
      <c r="E450" t="s">
        <v>15</v>
      </c>
      <c r="F450" s="10"/>
      <c r="G450" s="10"/>
      <c r="H450" s="10"/>
      <c r="I450" s="10"/>
      <c r="K450" s="10"/>
      <c r="L450" s="10"/>
    </row>
    <row r="451" spans="1:12" x14ac:dyDescent="0.35">
      <c r="A451" s="10">
        <v>435.83199999999999</v>
      </c>
      <c r="B451" s="2" t="s">
        <v>9</v>
      </c>
      <c r="C451" t="s">
        <v>138</v>
      </c>
      <c r="D451" t="s">
        <v>66</v>
      </c>
      <c r="E451" t="s">
        <v>67</v>
      </c>
      <c r="F451" s="10">
        <v>15.5189</v>
      </c>
      <c r="G451" s="10">
        <v>-0.43559999999999999</v>
      </c>
      <c r="H451" s="10">
        <v>435.3777</v>
      </c>
      <c r="I451" s="10">
        <v>0</v>
      </c>
      <c r="K451" s="10">
        <f t="shared" ref="K451" si="440">SQRT((F451-F449)^2+(H451-H449)^2)</f>
        <v>3.1622508328720675</v>
      </c>
      <c r="L451" s="10">
        <f t="shared" ref="L451" si="441">L449+K451</f>
        <v>435.83106336439681</v>
      </c>
    </row>
    <row r="452" spans="1:12" x14ac:dyDescent="0.35">
      <c r="A452" s="10">
        <v>437.35599999999999</v>
      </c>
      <c r="B452" s="2" t="s">
        <v>13</v>
      </c>
      <c r="C452" t="s">
        <v>138</v>
      </c>
      <c r="D452" t="s">
        <v>66</v>
      </c>
      <c r="E452" t="s">
        <v>67</v>
      </c>
      <c r="F452" s="10">
        <v>15.636649999999999</v>
      </c>
      <c r="G452" s="10">
        <v>-0.43345</v>
      </c>
      <c r="H452" s="10">
        <v>436.89715000000001</v>
      </c>
      <c r="I452" s="10">
        <v>0</v>
      </c>
      <c r="K452" s="10"/>
      <c r="L452" s="10">
        <f t="shared" ref="L452" si="442">(L451+L453)/2</f>
        <v>437.35506906156468</v>
      </c>
    </row>
    <row r="453" spans="1:12" x14ac:dyDescent="0.35">
      <c r="A453" s="10">
        <v>438.88</v>
      </c>
      <c r="B453" s="2" t="s">
        <v>14</v>
      </c>
      <c r="C453" t="s">
        <v>138</v>
      </c>
      <c r="D453" t="s">
        <v>66</v>
      </c>
      <c r="E453" t="s">
        <v>67</v>
      </c>
      <c r="F453" s="10">
        <v>15.7544</v>
      </c>
      <c r="G453" s="10">
        <v>-0.43130000000000002</v>
      </c>
      <c r="H453" s="10">
        <v>438.41660000000002</v>
      </c>
      <c r="I453" s="10">
        <v>0</v>
      </c>
      <c r="K453" s="10">
        <f t="shared" ref="K453" si="443">SQRT((F453-F451)^2+(H453-H451)^2)</f>
        <v>3.0480113943356697</v>
      </c>
      <c r="L453" s="10">
        <f t="shared" ref="L453" si="444">L451+K453</f>
        <v>438.87907475873249</v>
      </c>
    </row>
    <row r="454" spans="1:12" x14ac:dyDescent="0.35">
      <c r="A454" s="10"/>
      <c r="B454" s="2" t="s">
        <v>15</v>
      </c>
      <c r="C454" t="s">
        <v>15</v>
      </c>
      <c r="D454" t="s">
        <v>15</v>
      </c>
      <c r="E454" t="s">
        <v>15</v>
      </c>
      <c r="F454" s="10"/>
      <c r="G454" s="10"/>
      <c r="H454" s="10"/>
      <c r="I454" s="10"/>
      <c r="K454" s="10"/>
      <c r="L454" s="10"/>
    </row>
    <row r="455" spans="1:12" x14ac:dyDescent="0.35">
      <c r="A455" s="10">
        <v>442.58800000000002</v>
      </c>
      <c r="B455" s="2" t="s">
        <v>9</v>
      </c>
      <c r="C455" t="s">
        <v>139</v>
      </c>
      <c r="D455" t="s">
        <v>66</v>
      </c>
      <c r="E455" t="s">
        <v>67</v>
      </c>
      <c r="F455" s="10">
        <v>16.040900000000001</v>
      </c>
      <c r="G455" s="10">
        <v>-0.42609999999999998</v>
      </c>
      <c r="H455" s="10">
        <v>442.1139</v>
      </c>
      <c r="I455" s="10">
        <v>0</v>
      </c>
      <c r="K455" s="10">
        <f t="shared" ref="K455" si="445">SQRT((F455-F453)^2+(H455-H453)^2)</f>
        <v>3.7083836829540555</v>
      </c>
      <c r="L455" s="10">
        <f t="shared" ref="L455" si="446">L453+K455</f>
        <v>442.58745844168652</v>
      </c>
    </row>
    <row r="456" spans="1:12" x14ac:dyDescent="0.35">
      <c r="A456" s="10">
        <v>444.11200000000002</v>
      </c>
      <c r="B456" s="2" t="s">
        <v>13</v>
      </c>
      <c r="C456" t="s">
        <v>139</v>
      </c>
      <c r="D456" t="s">
        <v>66</v>
      </c>
      <c r="E456" t="s">
        <v>67</v>
      </c>
      <c r="F456" s="10">
        <v>16.1586</v>
      </c>
      <c r="G456" s="10">
        <v>-0.42394999999999999</v>
      </c>
      <c r="H456" s="10">
        <v>443.63330000000002</v>
      </c>
      <c r="I456" s="10">
        <v>0</v>
      </c>
      <c r="K456" s="10"/>
      <c r="L456" s="10">
        <f t="shared" ref="L456" si="447">(L455+L457)/2</f>
        <v>444.11141042583824</v>
      </c>
    </row>
    <row r="457" spans="1:12" x14ac:dyDescent="0.35">
      <c r="A457" s="10">
        <v>445.63600000000002</v>
      </c>
      <c r="B457" s="2" t="s">
        <v>14</v>
      </c>
      <c r="C457" t="s">
        <v>139</v>
      </c>
      <c r="D457" t="s">
        <v>66</v>
      </c>
      <c r="E457" t="s">
        <v>67</v>
      </c>
      <c r="F457" s="10">
        <v>16.276299999999999</v>
      </c>
      <c r="G457" s="10">
        <v>-0.42180000000000001</v>
      </c>
      <c r="H457" s="10">
        <v>445.15269999999998</v>
      </c>
      <c r="I457" s="10">
        <v>0</v>
      </c>
      <c r="K457" s="10">
        <f t="shared" ref="K457" si="448">SQRT((F457-F455)^2+(H457-H455)^2)</f>
        <v>3.0479039683034439</v>
      </c>
      <c r="L457" s="10">
        <f t="shared" ref="L457" si="449">L455+K457</f>
        <v>445.63536240998997</v>
      </c>
    </row>
    <row r="458" spans="1:12" x14ac:dyDescent="0.35">
      <c r="A458" s="10"/>
      <c r="B458" s="2" t="s">
        <v>15</v>
      </c>
      <c r="C458" t="s">
        <v>15</v>
      </c>
      <c r="D458" t="s">
        <v>15</v>
      </c>
      <c r="E458" t="s">
        <v>15</v>
      </c>
      <c r="F458" s="10"/>
      <c r="G458" s="10"/>
      <c r="H458" s="10"/>
      <c r="I458" s="10"/>
      <c r="K458" s="10"/>
      <c r="L458" s="10"/>
    </row>
    <row r="459" spans="1:12" x14ac:dyDescent="0.35">
      <c r="A459" s="10">
        <v>446.017</v>
      </c>
      <c r="B459" s="2" t="s">
        <v>9</v>
      </c>
      <c r="C459" t="s">
        <v>140</v>
      </c>
      <c r="D459" t="s">
        <v>11</v>
      </c>
      <c r="E459" t="s">
        <v>24</v>
      </c>
      <c r="F459" s="10">
        <v>16.305800000000001</v>
      </c>
      <c r="G459" s="10">
        <v>-0.42130000000000001</v>
      </c>
      <c r="H459" s="10">
        <v>445.5326</v>
      </c>
      <c r="I459" s="10">
        <v>0</v>
      </c>
      <c r="K459" s="10">
        <f t="shared" ref="K459" si="450">SQRT((F459-F457)^2+(H459-H457)^2)</f>
        <v>0.38104364579404254</v>
      </c>
      <c r="L459" s="10">
        <f t="shared" ref="L459" si="451">L457+K459</f>
        <v>446.01640605578399</v>
      </c>
    </row>
    <row r="460" spans="1:12" x14ac:dyDescent="0.35">
      <c r="A460" s="10">
        <v>446.017</v>
      </c>
      <c r="B460" s="2" t="s">
        <v>13</v>
      </c>
      <c r="C460" t="s">
        <v>140</v>
      </c>
      <c r="D460" t="s">
        <v>11</v>
      </c>
      <c r="E460" t="s">
        <v>24</v>
      </c>
      <c r="F460" s="10">
        <v>16.305800000000001</v>
      </c>
      <c r="G460" s="10">
        <v>-0.42130000000000001</v>
      </c>
      <c r="H460" s="10">
        <v>445.5326</v>
      </c>
      <c r="I460" s="10">
        <v>0</v>
      </c>
      <c r="K460" s="10"/>
      <c r="L460" s="10">
        <f t="shared" ref="L460" si="452">(L459+L461)/2</f>
        <v>446.01640605578399</v>
      </c>
    </row>
    <row r="461" spans="1:12" x14ac:dyDescent="0.35">
      <c r="A461" s="10">
        <v>446.017</v>
      </c>
      <c r="B461" s="2" t="s">
        <v>14</v>
      </c>
      <c r="C461" t="s">
        <v>140</v>
      </c>
      <c r="D461" t="s">
        <v>11</v>
      </c>
      <c r="E461" t="s">
        <v>24</v>
      </c>
      <c r="F461" s="10">
        <v>16.305800000000001</v>
      </c>
      <c r="G461" s="10">
        <v>-0.42130000000000001</v>
      </c>
      <c r="H461" s="10">
        <v>445.5326</v>
      </c>
      <c r="I461" s="10">
        <v>0</v>
      </c>
      <c r="K461" s="10">
        <f t="shared" ref="K461" si="453">SQRT((F461-F459)^2+(H461-H459)^2)</f>
        <v>0</v>
      </c>
      <c r="L461" s="10">
        <f t="shared" ref="L461" si="454">L459+K461</f>
        <v>446.01640605578399</v>
      </c>
    </row>
    <row r="462" spans="1:12" x14ac:dyDescent="0.35">
      <c r="A462" s="10"/>
      <c r="B462" s="2" t="s">
        <v>15</v>
      </c>
      <c r="C462" t="s">
        <v>15</v>
      </c>
      <c r="D462" t="s">
        <v>15</v>
      </c>
      <c r="E462" t="s">
        <v>15</v>
      </c>
      <c r="F462" s="10"/>
      <c r="G462" s="10"/>
      <c r="H462" s="10"/>
      <c r="I462" s="10"/>
      <c r="K462" s="10"/>
      <c r="L462" s="10"/>
    </row>
    <row r="463" spans="1:12" x14ac:dyDescent="0.35">
      <c r="A463" s="10">
        <v>446.85599999999999</v>
      </c>
      <c r="B463" s="2" t="s">
        <v>9</v>
      </c>
      <c r="C463" t="s">
        <v>55</v>
      </c>
      <c r="D463" t="s">
        <v>11</v>
      </c>
      <c r="E463" t="s">
        <v>56</v>
      </c>
      <c r="F463" s="10">
        <v>16.3705</v>
      </c>
      <c r="G463" s="10">
        <v>-0.42009999999999997</v>
      </c>
      <c r="H463" s="10">
        <v>446.36829999999998</v>
      </c>
      <c r="I463" s="10">
        <v>0</v>
      </c>
      <c r="K463" s="10">
        <f t="shared" ref="K463" si="455">SQRT((F463-F461)^2+(H463-H461)^2)</f>
        <v>0.83820079933149483</v>
      </c>
      <c r="L463" s="10">
        <f t="shared" ref="L463" si="456">L461+K463</f>
        <v>446.85460685511549</v>
      </c>
    </row>
    <row r="464" spans="1:12" x14ac:dyDescent="0.35">
      <c r="A464" s="10">
        <v>446.85599999999999</v>
      </c>
      <c r="B464" s="2" t="s">
        <v>13</v>
      </c>
      <c r="C464" t="s">
        <v>55</v>
      </c>
      <c r="D464" t="s">
        <v>11</v>
      </c>
      <c r="E464" t="s">
        <v>56</v>
      </c>
      <c r="F464" s="10">
        <v>16.3705</v>
      </c>
      <c r="G464" s="10">
        <v>-0.42009999999999997</v>
      </c>
      <c r="H464" s="10">
        <v>446.36829999999998</v>
      </c>
      <c r="I464" s="10">
        <v>0</v>
      </c>
      <c r="K464" s="10"/>
      <c r="L464" s="10">
        <f t="shared" ref="L464" si="457">(L463+L465)/2</f>
        <v>446.85460685511549</v>
      </c>
    </row>
    <row r="465" spans="1:12" x14ac:dyDescent="0.35">
      <c r="A465" s="10">
        <v>446.85599999999999</v>
      </c>
      <c r="B465" s="2" t="s">
        <v>14</v>
      </c>
      <c r="C465" t="s">
        <v>55</v>
      </c>
      <c r="D465" t="s">
        <v>11</v>
      </c>
      <c r="E465" t="s">
        <v>56</v>
      </c>
      <c r="F465" s="10">
        <v>16.3705</v>
      </c>
      <c r="G465" s="10">
        <v>-0.42009999999999997</v>
      </c>
      <c r="H465" s="10">
        <v>446.36829999999998</v>
      </c>
      <c r="I465" s="10">
        <v>0</v>
      </c>
      <c r="K465" s="10">
        <f t="shared" ref="K465" si="458">SQRT((F465-F463)^2+(H465-H463)^2)</f>
        <v>0</v>
      </c>
      <c r="L465" s="10">
        <f t="shared" ref="L465" si="459">L463+K465</f>
        <v>446.85460685511549</v>
      </c>
    </row>
    <row r="466" spans="1:12" x14ac:dyDescent="0.35">
      <c r="A466" s="10"/>
      <c r="B466" s="2" t="s">
        <v>15</v>
      </c>
      <c r="C466" t="s">
        <v>15</v>
      </c>
      <c r="D466" t="s">
        <v>15</v>
      </c>
      <c r="E466" t="s">
        <v>15</v>
      </c>
      <c r="F466" s="10"/>
      <c r="G466" s="10"/>
      <c r="H466" s="10"/>
      <c r="I466" s="10"/>
      <c r="K466" s="10"/>
      <c r="L466" s="10"/>
    </row>
    <row r="467" spans="1:12" x14ac:dyDescent="0.35">
      <c r="A467" s="10">
        <v>447.31900000000002</v>
      </c>
      <c r="B467" s="2" t="s">
        <v>9</v>
      </c>
      <c r="C467" t="s">
        <v>141</v>
      </c>
      <c r="D467" t="s">
        <v>43</v>
      </c>
      <c r="E467" t="s">
        <v>142</v>
      </c>
      <c r="F467" s="10">
        <v>16.406300000000002</v>
      </c>
      <c r="G467" s="10">
        <v>-0.41949999999999998</v>
      </c>
      <c r="H467" s="10">
        <v>446.8304</v>
      </c>
      <c r="I467" s="10">
        <v>0</v>
      </c>
      <c r="K467" s="10">
        <f t="shared" ref="K467" si="460">SQRT((F467-F465)^2+(H467-H465)^2)</f>
        <v>0.46348468151603389</v>
      </c>
      <c r="L467" s="10">
        <f t="shared" ref="L467" si="461">L465+K467</f>
        <v>447.31809153663153</v>
      </c>
    </row>
    <row r="468" spans="1:12" x14ac:dyDescent="0.35">
      <c r="A468" s="10">
        <v>447.37</v>
      </c>
      <c r="B468" s="2" t="s">
        <v>13</v>
      </c>
      <c r="C468" t="s">
        <v>141</v>
      </c>
      <c r="D468" t="s">
        <v>43</v>
      </c>
      <c r="E468" t="s">
        <v>142</v>
      </c>
      <c r="F468" s="10">
        <v>16.410250000000001</v>
      </c>
      <c r="G468" s="10">
        <v>-0.4194</v>
      </c>
      <c r="H468" s="10">
        <v>446.88105000000002</v>
      </c>
      <c r="I468" s="10">
        <v>0</v>
      </c>
      <c r="K468" s="10"/>
      <c r="L468" s="10">
        <f t="shared" ref="L468" si="462">(L467+L469)/2</f>
        <v>447.36889532586031</v>
      </c>
    </row>
    <row r="469" spans="1:12" x14ac:dyDescent="0.35">
      <c r="A469" s="10">
        <v>447.42099999999999</v>
      </c>
      <c r="B469" s="2" t="s">
        <v>14</v>
      </c>
      <c r="C469" t="s">
        <v>141</v>
      </c>
      <c r="D469" t="s">
        <v>43</v>
      </c>
      <c r="E469" t="s">
        <v>142</v>
      </c>
      <c r="F469" s="10">
        <v>16.414200000000001</v>
      </c>
      <c r="G469" s="10">
        <v>-0.41930000000000001</v>
      </c>
      <c r="H469" s="10">
        <v>446.93169999999998</v>
      </c>
      <c r="I469" s="10">
        <v>0</v>
      </c>
      <c r="K469" s="10">
        <f t="shared" ref="K469" si="463">SQRT((F469-F467)^2+(H469-H467)^2)</f>
        <v>0.10160757845749531</v>
      </c>
      <c r="L469" s="10">
        <f t="shared" ref="L469" si="464">L467+K469</f>
        <v>447.41969911508903</v>
      </c>
    </row>
    <row r="470" spans="1:12" x14ac:dyDescent="0.35">
      <c r="A470" s="10"/>
      <c r="B470" s="2" t="s">
        <v>15</v>
      </c>
      <c r="C470" t="s">
        <v>15</v>
      </c>
      <c r="D470" t="s">
        <v>15</v>
      </c>
      <c r="E470" t="s">
        <v>15</v>
      </c>
      <c r="F470" s="10"/>
      <c r="G470" s="10"/>
      <c r="H470" s="10"/>
      <c r="I470" s="10"/>
      <c r="K470" s="10"/>
      <c r="L470" s="10"/>
    </row>
    <row r="471" spans="1:12" x14ac:dyDescent="0.35">
      <c r="A471" s="10">
        <v>447.97899999999998</v>
      </c>
      <c r="B471" s="2" t="s">
        <v>9</v>
      </c>
      <c r="C471" t="s">
        <v>55</v>
      </c>
      <c r="D471" t="s">
        <v>11</v>
      </c>
      <c r="E471" t="s">
        <v>56</v>
      </c>
      <c r="F471" s="10">
        <v>16.4573</v>
      </c>
      <c r="G471" s="10">
        <v>-0.41849999999999998</v>
      </c>
      <c r="H471" s="10">
        <v>447.48880000000003</v>
      </c>
      <c r="I471" s="10">
        <v>0</v>
      </c>
      <c r="K471" s="10">
        <f t="shared" ref="K471" si="465">SQRT((F471-F469)^2+(H471-H469)^2)</f>
        <v>0.5587647268753223</v>
      </c>
      <c r="L471" s="10">
        <f t="shared" ref="L471" si="466">L469+K471</f>
        <v>447.97846384196436</v>
      </c>
    </row>
    <row r="472" spans="1:12" x14ac:dyDescent="0.35">
      <c r="A472" s="10">
        <v>447.97899999999998</v>
      </c>
      <c r="B472" s="2" t="s">
        <v>13</v>
      </c>
      <c r="C472" t="s">
        <v>55</v>
      </c>
      <c r="D472" t="s">
        <v>11</v>
      </c>
      <c r="E472" t="s">
        <v>56</v>
      </c>
      <c r="F472" s="10">
        <v>16.4573</v>
      </c>
      <c r="G472" s="10">
        <v>-0.41849999999999998</v>
      </c>
      <c r="H472" s="10">
        <v>447.48880000000003</v>
      </c>
      <c r="I472" s="10">
        <v>0</v>
      </c>
      <c r="K472" s="10"/>
      <c r="L472" s="10">
        <f t="shared" ref="L472" si="467">(L471+L473)/2</f>
        <v>447.97846384196436</v>
      </c>
    </row>
    <row r="473" spans="1:12" x14ac:dyDescent="0.35">
      <c r="A473" s="10">
        <v>447.97899999999998</v>
      </c>
      <c r="B473" s="2" t="s">
        <v>14</v>
      </c>
      <c r="C473" t="s">
        <v>55</v>
      </c>
      <c r="D473" t="s">
        <v>11</v>
      </c>
      <c r="E473" t="s">
        <v>56</v>
      </c>
      <c r="F473" s="10">
        <v>16.4573</v>
      </c>
      <c r="G473" s="10">
        <v>-0.41849999999999998</v>
      </c>
      <c r="H473" s="10">
        <v>447.48880000000003</v>
      </c>
      <c r="I473" s="10">
        <v>0</v>
      </c>
      <c r="K473" s="10">
        <f t="shared" ref="K473" si="468">SQRT((F473-F471)^2+(H473-H471)^2)</f>
        <v>0</v>
      </c>
      <c r="L473" s="10">
        <f t="shared" ref="L473" si="469">L471+K473</f>
        <v>447.97846384196436</v>
      </c>
    </row>
    <row r="474" spans="1:12" x14ac:dyDescent="0.35">
      <c r="A474" s="10"/>
      <c r="B474" s="2" t="s">
        <v>15</v>
      </c>
      <c r="C474" t="s">
        <v>15</v>
      </c>
      <c r="D474" t="s">
        <v>15</v>
      </c>
      <c r="E474" t="s">
        <v>15</v>
      </c>
      <c r="F474" s="10"/>
      <c r="G474" s="10"/>
      <c r="H474" s="10"/>
      <c r="I474" s="10"/>
      <c r="K474" s="10"/>
      <c r="L474" s="10"/>
    </row>
    <row r="475" spans="1:12" x14ac:dyDescent="0.35">
      <c r="A475" s="10">
        <v>448.31</v>
      </c>
      <c r="B475" s="2" t="s">
        <v>9</v>
      </c>
      <c r="C475" t="s">
        <v>143</v>
      </c>
      <c r="D475" t="s">
        <v>100</v>
      </c>
      <c r="E475" t="s">
        <v>77</v>
      </c>
      <c r="F475" s="10">
        <v>16.482900000000001</v>
      </c>
      <c r="G475" s="10">
        <v>-0.41810000000000003</v>
      </c>
      <c r="H475" s="10">
        <v>447.8184</v>
      </c>
      <c r="I475" s="10">
        <v>0</v>
      </c>
      <c r="K475" s="10">
        <f t="shared" ref="K475" si="470">SQRT((F475-F473)^2+(H475-H473)^2)</f>
        <v>0.33059267989473207</v>
      </c>
      <c r="L475" s="10">
        <f t="shared" ref="L475" si="471">L473+K475</f>
        <v>448.30905652185908</v>
      </c>
    </row>
    <row r="476" spans="1:12" x14ac:dyDescent="0.35">
      <c r="A476" s="10">
        <v>448.69099999999997</v>
      </c>
      <c r="B476" s="2" t="s">
        <v>13</v>
      </c>
      <c r="C476" t="s">
        <v>143</v>
      </c>
      <c r="D476" t="s">
        <v>100</v>
      </c>
      <c r="E476" t="s">
        <v>77</v>
      </c>
      <c r="F476" s="10">
        <v>16.512350000000001</v>
      </c>
      <c r="G476" s="10">
        <v>-0.41754999999999998</v>
      </c>
      <c r="H476" s="10">
        <v>448.19830000000002</v>
      </c>
      <c r="I476" s="10">
        <v>0</v>
      </c>
      <c r="K476" s="10"/>
      <c r="L476" s="10">
        <f t="shared" ref="L476" si="472">(L475+L477)/2</f>
        <v>448.69009629996629</v>
      </c>
    </row>
    <row r="477" spans="1:12" x14ac:dyDescent="0.35">
      <c r="A477" s="10">
        <v>449.072</v>
      </c>
      <c r="B477" s="2" t="s">
        <v>14</v>
      </c>
      <c r="C477" t="s">
        <v>143</v>
      </c>
      <c r="D477" t="s">
        <v>100</v>
      </c>
      <c r="E477" t="s">
        <v>77</v>
      </c>
      <c r="F477" s="10">
        <v>16.541799999999999</v>
      </c>
      <c r="G477" s="10">
        <v>-0.41699999999999998</v>
      </c>
      <c r="H477" s="10">
        <v>448.57819999999998</v>
      </c>
      <c r="I477" s="10">
        <v>0</v>
      </c>
      <c r="K477" s="10">
        <f t="shared" ref="K477" si="473">SQRT((F477-F475)^2+(H477-H475)^2)</f>
        <v>0.76207955621442558</v>
      </c>
      <c r="L477" s="10">
        <f t="shared" ref="L477" si="474">L475+K477</f>
        <v>449.07113607807349</v>
      </c>
    </row>
    <row r="478" spans="1:12" x14ac:dyDescent="0.35">
      <c r="A478" s="10"/>
      <c r="B478" s="2" t="s">
        <v>15</v>
      </c>
      <c r="C478" t="s">
        <v>15</v>
      </c>
      <c r="D478" t="s">
        <v>15</v>
      </c>
      <c r="E478" t="s">
        <v>15</v>
      </c>
      <c r="F478" s="10"/>
      <c r="G478" s="10"/>
      <c r="H478" s="10"/>
      <c r="I478" s="10"/>
      <c r="K478" s="10"/>
      <c r="L478" s="10"/>
    </row>
    <row r="479" spans="1:12" x14ac:dyDescent="0.35">
      <c r="A479" s="10">
        <v>449.529</v>
      </c>
      <c r="B479" s="2" t="s">
        <v>9</v>
      </c>
      <c r="C479" t="s">
        <v>144</v>
      </c>
      <c r="D479" t="s">
        <v>27</v>
      </c>
      <c r="E479" t="s">
        <v>70</v>
      </c>
      <c r="F479" s="10">
        <v>16.577100000000002</v>
      </c>
      <c r="G479" s="10">
        <v>-0.41639999999999999</v>
      </c>
      <c r="H479" s="10">
        <v>449.03379999999999</v>
      </c>
      <c r="I479" s="10">
        <v>0</v>
      </c>
      <c r="K479" s="10">
        <f t="shared" ref="K479" si="475">SQRT((F479-F477)^2+(H479-H477)^2)</f>
        <v>0.45696548009669596</v>
      </c>
      <c r="L479" s="10">
        <f t="shared" ref="L479" si="476">L477+K479</f>
        <v>449.52810155817019</v>
      </c>
    </row>
    <row r="480" spans="1:12" x14ac:dyDescent="0.35">
      <c r="A480" s="10">
        <v>451.053</v>
      </c>
      <c r="B480" s="2" t="s">
        <v>13</v>
      </c>
      <c r="C480" t="s">
        <v>144</v>
      </c>
      <c r="D480" t="s">
        <v>27</v>
      </c>
      <c r="E480" t="s">
        <v>70</v>
      </c>
      <c r="F480" s="10">
        <v>16.68805</v>
      </c>
      <c r="G480" s="10">
        <v>-0.41425000000000001</v>
      </c>
      <c r="H480" s="10">
        <v>450.55374999999998</v>
      </c>
      <c r="I480" s="10">
        <v>0</v>
      </c>
      <c r="K480" s="10"/>
      <c r="L480" s="10">
        <f t="shared" ref="L480" si="477">(L479+L481)/2</f>
        <v>451.05209562147883</v>
      </c>
    </row>
    <row r="481" spans="1:12" x14ac:dyDescent="0.35">
      <c r="A481" s="10">
        <v>452.577</v>
      </c>
      <c r="B481" s="2" t="s">
        <v>14</v>
      </c>
      <c r="C481" t="s">
        <v>144</v>
      </c>
      <c r="D481" t="s">
        <v>27</v>
      </c>
      <c r="E481" t="s">
        <v>70</v>
      </c>
      <c r="F481" s="10">
        <v>16.798999999999999</v>
      </c>
      <c r="G481" s="10">
        <v>-0.41210000000000002</v>
      </c>
      <c r="H481" s="10">
        <v>452.07369999999997</v>
      </c>
      <c r="I481" s="10">
        <v>0</v>
      </c>
      <c r="K481" s="10">
        <f t="shared" ref="K481" si="478">SQRT((F481-F479)^2+(H481-H479)^2)</f>
        <v>3.0479881266172826</v>
      </c>
      <c r="L481" s="10">
        <f t="shared" ref="L481" si="479">L479+K481</f>
        <v>452.57608968478746</v>
      </c>
    </row>
    <row r="482" spans="1:12" x14ac:dyDescent="0.35">
      <c r="A482" s="10"/>
      <c r="B482" s="2" t="s">
        <v>15</v>
      </c>
      <c r="C482" t="s">
        <v>15</v>
      </c>
      <c r="D482" t="s">
        <v>15</v>
      </c>
      <c r="E482" t="s">
        <v>15</v>
      </c>
      <c r="F482" s="10"/>
      <c r="G482" s="10"/>
      <c r="H482" s="10"/>
      <c r="I482" s="10"/>
      <c r="K482" s="10"/>
      <c r="L482" s="10"/>
    </row>
    <row r="483" spans="1:12" x14ac:dyDescent="0.35">
      <c r="A483" s="10">
        <v>453.03399999999999</v>
      </c>
      <c r="B483" s="2" t="s">
        <v>9</v>
      </c>
      <c r="C483" t="s">
        <v>145</v>
      </c>
      <c r="D483" t="s">
        <v>27</v>
      </c>
      <c r="E483" t="s">
        <v>146</v>
      </c>
      <c r="F483" s="10">
        <v>16.830200000000001</v>
      </c>
      <c r="G483" s="10">
        <v>-0.41139999999999999</v>
      </c>
      <c r="H483" s="10">
        <v>452.52960000000002</v>
      </c>
      <c r="I483" s="10">
        <v>0</v>
      </c>
      <c r="K483" s="10">
        <f t="shared" ref="K483" si="480">SQRT((F483-F481)^2+(H483-H481)^2)</f>
        <v>0.45696635543553837</v>
      </c>
      <c r="L483" s="10">
        <f t="shared" ref="L483" si="481">L481+K483</f>
        <v>453.03305604022302</v>
      </c>
    </row>
    <row r="484" spans="1:12" x14ac:dyDescent="0.35">
      <c r="A484" s="10">
        <v>454.55799999999999</v>
      </c>
      <c r="B484" s="2" t="s">
        <v>13</v>
      </c>
      <c r="C484" t="s">
        <v>145</v>
      </c>
      <c r="D484" t="s">
        <v>27</v>
      </c>
      <c r="E484" t="s">
        <v>146</v>
      </c>
      <c r="F484" s="10">
        <v>16.92765</v>
      </c>
      <c r="G484" s="10">
        <v>-0.4093</v>
      </c>
      <c r="H484" s="10">
        <v>454.0505</v>
      </c>
      <c r="I484" s="10">
        <v>0</v>
      </c>
      <c r="K484" s="10"/>
      <c r="L484" s="10">
        <f t="shared" ref="L484" si="482">(L483+L485)/2</f>
        <v>454.55707484342065</v>
      </c>
    </row>
    <row r="485" spans="1:12" x14ac:dyDescent="0.35">
      <c r="A485" s="10">
        <v>456.08199999999999</v>
      </c>
      <c r="B485" s="2" t="s">
        <v>14</v>
      </c>
      <c r="C485" t="s">
        <v>145</v>
      </c>
      <c r="D485" t="s">
        <v>27</v>
      </c>
      <c r="E485" t="s">
        <v>146</v>
      </c>
      <c r="F485" s="10">
        <v>17.025099999999998</v>
      </c>
      <c r="G485" s="10">
        <v>-0.40720000000000001</v>
      </c>
      <c r="H485" s="10">
        <v>455.57139999999998</v>
      </c>
      <c r="I485" s="10">
        <v>0</v>
      </c>
      <c r="K485" s="10">
        <f t="shared" ref="K485" si="483">SQRT((F485-F483)^2+(H485-H483)^2)</f>
        <v>3.0480376063952681</v>
      </c>
      <c r="L485" s="10">
        <f t="shared" ref="L485" si="484">L483+K485</f>
        <v>456.08109364661829</v>
      </c>
    </row>
    <row r="486" spans="1:12" x14ac:dyDescent="0.35">
      <c r="A486" s="10"/>
      <c r="B486" s="2" t="s">
        <v>15</v>
      </c>
      <c r="C486" t="s">
        <v>15</v>
      </c>
      <c r="D486" t="s">
        <v>15</v>
      </c>
      <c r="E486" t="s">
        <v>15</v>
      </c>
      <c r="F486" s="10"/>
      <c r="G486" s="10"/>
      <c r="H486" s="10"/>
      <c r="I486" s="10"/>
      <c r="K486" s="10"/>
      <c r="L486" s="10"/>
    </row>
    <row r="487" spans="1:12" x14ac:dyDescent="0.35">
      <c r="A487" s="10">
        <v>456.53899999999999</v>
      </c>
      <c r="B487" s="2" t="s">
        <v>9</v>
      </c>
      <c r="C487" t="s">
        <v>147</v>
      </c>
      <c r="D487" t="s">
        <v>27</v>
      </c>
      <c r="E487" t="s">
        <v>70</v>
      </c>
      <c r="F487" s="10">
        <v>17.052299999999999</v>
      </c>
      <c r="G487" s="10">
        <v>-0.40649999999999997</v>
      </c>
      <c r="H487" s="10">
        <v>456.02760000000001</v>
      </c>
      <c r="I487" s="10">
        <v>0</v>
      </c>
      <c r="K487" s="10">
        <f t="shared" ref="K487" si="485">SQRT((F487-F485)^2+(H487-H485)^2)</f>
        <v>0.45701015306010639</v>
      </c>
      <c r="L487" s="10">
        <f t="shared" ref="L487" si="486">L485+K487</f>
        <v>456.53810379967837</v>
      </c>
    </row>
    <row r="488" spans="1:12" x14ac:dyDescent="0.35">
      <c r="A488" s="10">
        <v>458.06299999999999</v>
      </c>
      <c r="B488" s="2" t="s">
        <v>13</v>
      </c>
      <c r="C488" t="s">
        <v>147</v>
      </c>
      <c r="D488" t="s">
        <v>27</v>
      </c>
      <c r="E488" t="s">
        <v>70</v>
      </c>
      <c r="F488" s="10">
        <v>17.136199999999999</v>
      </c>
      <c r="G488" s="10">
        <v>-0.40434999999999999</v>
      </c>
      <c r="H488" s="10">
        <v>457.54924999999997</v>
      </c>
      <c r="I488" s="10">
        <v>0</v>
      </c>
      <c r="K488" s="10"/>
      <c r="L488" s="10">
        <f t="shared" ref="L488" si="487">(L487+L489)/2</f>
        <v>458.06206506312964</v>
      </c>
    </row>
    <row r="489" spans="1:12" x14ac:dyDescent="0.35">
      <c r="A489" s="10">
        <v>459.58699999999999</v>
      </c>
      <c r="B489" s="2" t="s">
        <v>14</v>
      </c>
      <c r="C489" t="s">
        <v>147</v>
      </c>
      <c r="D489" t="s">
        <v>27</v>
      </c>
      <c r="E489" t="s">
        <v>70</v>
      </c>
      <c r="F489" s="10">
        <v>17.220099999999999</v>
      </c>
      <c r="G489" s="10">
        <v>-0.4022</v>
      </c>
      <c r="H489" s="10">
        <v>459.07089999999999</v>
      </c>
      <c r="I489" s="10">
        <v>0</v>
      </c>
      <c r="K489" s="10">
        <f t="shared" ref="K489" si="488">SQRT((F489-F487)^2+(H489-H487)^2)</f>
        <v>3.0479225269025334</v>
      </c>
      <c r="L489" s="10">
        <f t="shared" ref="L489" si="489">L487+K489</f>
        <v>459.58602632658091</v>
      </c>
    </row>
    <row r="490" spans="1:12" x14ac:dyDescent="0.35">
      <c r="A490" s="10"/>
      <c r="B490" s="2" t="s">
        <v>15</v>
      </c>
      <c r="C490" t="s">
        <v>15</v>
      </c>
      <c r="D490" t="s">
        <v>15</v>
      </c>
      <c r="E490" t="s">
        <v>15</v>
      </c>
      <c r="F490" s="10"/>
      <c r="G490" s="10"/>
      <c r="H490" s="10"/>
      <c r="I490" s="10"/>
      <c r="K490" s="10"/>
      <c r="L490" s="10"/>
    </row>
    <row r="491" spans="1:12" x14ac:dyDescent="0.35">
      <c r="A491" s="10">
        <v>460.04399999999998</v>
      </c>
      <c r="B491" s="2" t="s">
        <v>9</v>
      </c>
      <c r="C491" t="s">
        <v>148</v>
      </c>
      <c r="D491" t="s">
        <v>27</v>
      </c>
      <c r="E491" t="s">
        <v>70</v>
      </c>
      <c r="F491" s="10">
        <v>17.243200000000002</v>
      </c>
      <c r="G491" s="10">
        <v>-0.40160000000000001</v>
      </c>
      <c r="H491" s="10">
        <v>459.52730000000003</v>
      </c>
      <c r="I491" s="10">
        <v>0</v>
      </c>
      <c r="K491" s="10">
        <f t="shared" ref="K491" si="490">SQRT((F491-F489)^2+(H491-H489)^2)</f>
        <v>0.45698421198114497</v>
      </c>
      <c r="L491" s="10">
        <f t="shared" ref="L491" si="491">L489+K491</f>
        <v>460.04301053856204</v>
      </c>
    </row>
    <row r="492" spans="1:12" x14ac:dyDescent="0.35">
      <c r="A492" s="10">
        <v>461.56799999999998</v>
      </c>
      <c r="B492" s="2" t="s">
        <v>13</v>
      </c>
      <c r="C492" t="s">
        <v>148</v>
      </c>
      <c r="D492" t="s">
        <v>27</v>
      </c>
      <c r="E492" t="s">
        <v>70</v>
      </c>
      <c r="F492" s="10">
        <v>17.313549999999999</v>
      </c>
      <c r="G492" s="10">
        <v>-0.39945000000000003</v>
      </c>
      <c r="H492" s="10">
        <v>461.04969999999997</v>
      </c>
      <c r="I492" s="10">
        <v>0</v>
      </c>
      <c r="K492" s="10"/>
      <c r="L492" s="10">
        <f t="shared" ref="L492" si="492">(L491+L493)/2</f>
        <v>461.56703510611334</v>
      </c>
    </row>
    <row r="493" spans="1:12" x14ac:dyDescent="0.35">
      <c r="A493" s="10">
        <v>463.09199999999998</v>
      </c>
      <c r="B493" s="2" t="s">
        <v>14</v>
      </c>
      <c r="C493" t="s">
        <v>148</v>
      </c>
      <c r="D493" t="s">
        <v>27</v>
      </c>
      <c r="E493" t="s">
        <v>70</v>
      </c>
      <c r="F493" s="10">
        <v>17.383900000000001</v>
      </c>
      <c r="G493" s="10">
        <v>-0.39729999999999999</v>
      </c>
      <c r="H493" s="10">
        <v>462.57209999999998</v>
      </c>
      <c r="I493" s="10">
        <v>0</v>
      </c>
      <c r="K493" s="10">
        <f t="shared" ref="K493" si="493">SQRT((F493-F491)^2+(H493-H491)^2)</f>
        <v>3.0480491351026</v>
      </c>
      <c r="L493" s="10">
        <f t="shared" ref="L493" si="494">L491+K493</f>
        <v>463.09105967366463</v>
      </c>
    </row>
    <row r="494" spans="1:12" x14ac:dyDescent="0.35">
      <c r="A494" s="10"/>
      <c r="B494" s="2" t="s">
        <v>15</v>
      </c>
      <c r="C494" t="s">
        <v>15</v>
      </c>
      <c r="D494" t="s">
        <v>15</v>
      </c>
      <c r="E494" t="s">
        <v>15</v>
      </c>
      <c r="F494" s="10"/>
      <c r="G494" s="10"/>
      <c r="H494" s="10"/>
      <c r="I494" s="10"/>
      <c r="K494" s="10"/>
      <c r="L494" s="10"/>
    </row>
    <row r="495" spans="1:12" x14ac:dyDescent="0.35">
      <c r="A495" s="10">
        <v>463.54899999999998</v>
      </c>
      <c r="B495" s="2" t="s">
        <v>9</v>
      </c>
      <c r="C495" t="s">
        <v>149</v>
      </c>
      <c r="D495" t="s">
        <v>27</v>
      </c>
      <c r="E495" t="s">
        <v>70</v>
      </c>
      <c r="F495" s="10">
        <v>17.402999999999999</v>
      </c>
      <c r="G495" s="10">
        <v>-0.3967</v>
      </c>
      <c r="H495" s="10">
        <v>463.02870000000001</v>
      </c>
      <c r="I495" s="10">
        <v>0</v>
      </c>
      <c r="K495" s="10">
        <f t="shared" ref="K495" si="495">SQRT((F495-F493)^2+(H495-H493)^2)</f>
        <v>0.45699931072161792</v>
      </c>
      <c r="L495" s="10">
        <f t="shared" ref="L495" si="496">L493+K495</f>
        <v>463.54805898438627</v>
      </c>
    </row>
    <row r="496" spans="1:12" x14ac:dyDescent="0.35">
      <c r="A496" s="10">
        <v>465.07299999999998</v>
      </c>
      <c r="B496" s="2" t="s">
        <v>13</v>
      </c>
      <c r="C496" t="s">
        <v>149</v>
      </c>
      <c r="D496" t="s">
        <v>27</v>
      </c>
      <c r="E496" t="s">
        <v>70</v>
      </c>
      <c r="F496" s="10">
        <v>17.459800000000001</v>
      </c>
      <c r="G496" s="10">
        <v>-0.39455000000000001</v>
      </c>
      <c r="H496" s="10">
        <v>464.55165</v>
      </c>
      <c r="I496" s="10">
        <v>0</v>
      </c>
      <c r="K496" s="10"/>
      <c r="L496" s="10">
        <f t="shared" ref="L496" si="497">(L495+L497)/2</f>
        <v>465.07206782376352</v>
      </c>
    </row>
    <row r="497" spans="1:12" x14ac:dyDescent="0.35">
      <c r="A497" s="10">
        <v>466.59699999999998</v>
      </c>
      <c r="B497" s="2" t="s">
        <v>14</v>
      </c>
      <c r="C497" t="s">
        <v>149</v>
      </c>
      <c r="D497" t="s">
        <v>27</v>
      </c>
      <c r="E497" t="s">
        <v>70</v>
      </c>
      <c r="F497" s="10">
        <v>17.5166</v>
      </c>
      <c r="G497" s="10">
        <v>-0.39240000000000003</v>
      </c>
      <c r="H497" s="10">
        <v>466.07459999999998</v>
      </c>
      <c r="I497" s="10">
        <v>0</v>
      </c>
      <c r="K497" s="10">
        <f t="shared" ref="K497" si="498">SQRT((F497-F495)^2+(H497-H495)^2)</f>
        <v>3.0480176787544657</v>
      </c>
      <c r="L497" s="10">
        <f t="shared" ref="L497" si="499">L495+K497</f>
        <v>466.59607666314076</v>
      </c>
    </row>
    <row r="498" spans="1:12" x14ac:dyDescent="0.35">
      <c r="A498" s="10"/>
      <c r="B498" s="2" t="s">
        <v>15</v>
      </c>
      <c r="C498" t="s">
        <v>15</v>
      </c>
      <c r="D498" t="s">
        <v>15</v>
      </c>
      <c r="E498" t="s">
        <v>15</v>
      </c>
      <c r="F498" s="10"/>
      <c r="G498" s="10"/>
      <c r="H498" s="10"/>
      <c r="I498" s="10"/>
      <c r="K498" s="10"/>
      <c r="L498" s="10"/>
    </row>
    <row r="499" spans="1:12" x14ac:dyDescent="0.35">
      <c r="A499" s="10">
        <v>467.05399999999997</v>
      </c>
      <c r="B499" s="2" t="s">
        <v>9</v>
      </c>
      <c r="C499" t="s">
        <v>150</v>
      </c>
      <c r="D499" t="s">
        <v>11</v>
      </c>
      <c r="E499" t="s">
        <v>12</v>
      </c>
      <c r="F499" s="10">
        <v>17.531600000000001</v>
      </c>
      <c r="G499" s="10">
        <v>-0.39179999999999998</v>
      </c>
      <c r="H499" s="10">
        <v>466.53129999999999</v>
      </c>
      <c r="I499" s="10">
        <v>0</v>
      </c>
      <c r="K499" s="10">
        <f t="shared" ref="K499" si="500">SQRT((F499-F497)^2+(H499-H497)^2)</f>
        <v>0.45694626598760069</v>
      </c>
      <c r="L499" s="10">
        <f t="shared" ref="L499" si="501">L497+K499</f>
        <v>467.05302292912836</v>
      </c>
    </row>
    <row r="500" spans="1:12" x14ac:dyDescent="0.35">
      <c r="A500" s="10">
        <v>467.05399999999997</v>
      </c>
      <c r="B500" s="2" t="s">
        <v>13</v>
      </c>
      <c r="C500" t="s">
        <v>150</v>
      </c>
      <c r="D500" t="s">
        <v>11</v>
      </c>
      <c r="E500" t="s">
        <v>12</v>
      </c>
      <c r="F500" s="10">
        <v>17.531600000000001</v>
      </c>
      <c r="G500" s="10">
        <v>-0.39179999999999998</v>
      </c>
      <c r="H500" s="10">
        <v>466.53129999999999</v>
      </c>
      <c r="I500" s="10">
        <v>0</v>
      </c>
      <c r="K500" s="10"/>
      <c r="L500" s="10">
        <f t="shared" ref="L500" si="502">(L499+L501)/2</f>
        <v>467.05302292912836</v>
      </c>
    </row>
    <row r="501" spans="1:12" x14ac:dyDescent="0.35">
      <c r="A501" s="10">
        <v>467.05399999999997</v>
      </c>
      <c r="B501" s="2" t="s">
        <v>14</v>
      </c>
      <c r="C501" t="s">
        <v>150</v>
      </c>
      <c r="D501" t="s">
        <v>11</v>
      </c>
      <c r="E501" t="s">
        <v>12</v>
      </c>
      <c r="F501" s="10">
        <v>17.531600000000001</v>
      </c>
      <c r="G501" s="10">
        <v>-0.39179999999999998</v>
      </c>
      <c r="H501" s="10">
        <v>466.53129999999999</v>
      </c>
      <c r="I501" s="10">
        <v>0</v>
      </c>
      <c r="K501" s="10">
        <f t="shared" ref="K501" si="503">SQRT((F501-F499)^2+(H501-H499)^2)</f>
        <v>0</v>
      </c>
      <c r="L501" s="10">
        <f t="shared" ref="L501" si="504">L499+K501</f>
        <v>467.05302292912836</v>
      </c>
    </row>
    <row r="502" spans="1:12" x14ac:dyDescent="0.35">
      <c r="A502" s="10"/>
      <c r="B502" s="2" t="s">
        <v>15</v>
      </c>
      <c r="C502" t="s">
        <v>15</v>
      </c>
      <c r="D502" t="s">
        <v>15</v>
      </c>
      <c r="E502" t="s">
        <v>15</v>
      </c>
      <c r="F502" s="10"/>
      <c r="G502" s="10"/>
      <c r="H502" s="10"/>
      <c r="I502" s="10"/>
      <c r="K502" s="10"/>
      <c r="L502" s="10"/>
    </row>
    <row r="503" spans="1:12" x14ac:dyDescent="0.35">
      <c r="A503" s="10">
        <v>467.05399999999997</v>
      </c>
      <c r="B503" s="2" t="s">
        <v>9</v>
      </c>
      <c r="C503" t="s">
        <v>151</v>
      </c>
      <c r="D503" t="s">
        <v>11</v>
      </c>
      <c r="E503" t="s">
        <v>12</v>
      </c>
      <c r="F503" s="10">
        <v>17.531600000000001</v>
      </c>
      <c r="G503" s="10">
        <v>-0.39179999999999998</v>
      </c>
      <c r="H503" s="10">
        <v>466.53129999999999</v>
      </c>
      <c r="I503" s="10">
        <v>0</v>
      </c>
      <c r="K503" s="10">
        <f t="shared" ref="K503" si="505">SQRT((F503-F501)^2+(H503-H501)^2)</f>
        <v>0</v>
      </c>
      <c r="L503" s="10">
        <f t="shared" ref="L503" si="506">L501+K503</f>
        <v>467.05302292912836</v>
      </c>
    </row>
    <row r="504" spans="1:12" x14ac:dyDescent="0.35">
      <c r="A504" s="10">
        <v>467.05399999999997</v>
      </c>
      <c r="B504" s="2" t="s">
        <v>13</v>
      </c>
      <c r="C504" t="s">
        <v>151</v>
      </c>
      <c r="D504" t="s">
        <v>11</v>
      </c>
      <c r="E504" t="s">
        <v>12</v>
      </c>
      <c r="F504" s="10">
        <v>17.531600000000001</v>
      </c>
      <c r="G504" s="10">
        <v>-0.39179999999999998</v>
      </c>
      <c r="H504" s="10">
        <v>466.53129999999999</v>
      </c>
      <c r="I504" s="10">
        <v>0</v>
      </c>
      <c r="K504" s="10"/>
      <c r="L504" s="10">
        <f t="shared" ref="L504" si="507">(L503+L505)/2</f>
        <v>467.05302292912836</v>
      </c>
    </row>
    <row r="505" spans="1:12" x14ac:dyDescent="0.35">
      <c r="A505" s="10">
        <v>467.05399999999997</v>
      </c>
      <c r="B505" s="2" t="s">
        <v>14</v>
      </c>
      <c r="C505" t="s">
        <v>151</v>
      </c>
      <c r="D505" t="s">
        <v>11</v>
      </c>
      <c r="E505" t="s">
        <v>12</v>
      </c>
      <c r="F505" s="10">
        <v>17.531600000000001</v>
      </c>
      <c r="G505" s="10">
        <v>-0.39179999999999998</v>
      </c>
      <c r="H505" s="10">
        <v>466.53129999999999</v>
      </c>
      <c r="I505" s="10">
        <v>0</v>
      </c>
      <c r="K505" s="10">
        <f t="shared" ref="K505" si="508">SQRT((F505-F503)^2+(H505-H503)^2)</f>
        <v>0</v>
      </c>
      <c r="L505" s="10">
        <f t="shared" ref="L505" si="509">L503+K505</f>
        <v>467.05302292912836</v>
      </c>
    </row>
    <row r="506" spans="1:12" x14ac:dyDescent="0.35">
      <c r="A506" s="10"/>
      <c r="B506" s="2" t="s">
        <v>15</v>
      </c>
      <c r="C506" t="s">
        <v>15</v>
      </c>
      <c r="D506" t="s">
        <v>15</v>
      </c>
      <c r="E506" t="s">
        <v>15</v>
      </c>
      <c r="F506" s="10"/>
      <c r="G506" s="10"/>
      <c r="H506" s="10"/>
      <c r="I506" s="10"/>
      <c r="K506" s="10"/>
      <c r="L506" s="10"/>
    </row>
    <row r="507" spans="1:12" x14ac:dyDescent="0.35">
      <c r="A507" s="10">
        <v>475.74099999999999</v>
      </c>
      <c r="B507" s="2" t="s">
        <v>9</v>
      </c>
      <c r="C507" t="s">
        <v>152</v>
      </c>
      <c r="D507" t="s">
        <v>66</v>
      </c>
      <c r="E507" t="s">
        <v>67</v>
      </c>
      <c r="F507" s="10">
        <v>17.816600000000001</v>
      </c>
      <c r="G507" s="10">
        <v>-0.37969999999999998</v>
      </c>
      <c r="H507" s="10">
        <v>475.21359999999999</v>
      </c>
      <c r="I507" s="10">
        <v>90</v>
      </c>
      <c r="K507" s="10">
        <f t="shared" ref="K507" si="510">SQRT((F507-F505)^2+(H507-H505)^2)</f>
        <v>8.686976360621685</v>
      </c>
      <c r="L507" s="10">
        <f t="shared" ref="L507" si="511">L505+K507</f>
        <v>475.73999928975002</v>
      </c>
    </row>
    <row r="508" spans="1:12" x14ac:dyDescent="0.35">
      <c r="A508" s="10">
        <v>477.26499999999999</v>
      </c>
      <c r="B508" s="2" t="s">
        <v>13</v>
      </c>
      <c r="C508" t="s">
        <v>152</v>
      </c>
      <c r="D508" t="s">
        <v>66</v>
      </c>
      <c r="E508" t="s">
        <v>67</v>
      </c>
      <c r="F508" s="10">
        <v>17.86665</v>
      </c>
      <c r="G508" s="10">
        <v>-0.37755</v>
      </c>
      <c r="H508" s="10">
        <v>476.73680000000002</v>
      </c>
      <c r="I508" s="10">
        <v>90</v>
      </c>
      <c r="K508" s="10"/>
      <c r="L508" s="10">
        <f t="shared" ref="L508" si="512">(L507+L509)/2</f>
        <v>477.26402135077802</v>
      </c>
    </row>
    <row r="509" spans="1:12" x14ac:dyDescent="0.35">
      <c r="A509" s="10">
        <v>478.78899999999999</v>
      </c>
      <c r="B509" s="2" t="s">
        <v>14</v>
      </c>
      <c r="C509" t="s">
        <v>152</v>
      </c>
      <c r="D509" t="s">
        <v>66</v>
      </c>
      <c r="E509" t="s">
        <v>67</v>
      </c>
      <c r="F509" s="10">
        <v>17.916699999999999</v>
      </c>
      <c r="G509" s="10">
        <v>-0.37540000000000001</v>
      </c>
      <c r="H509" s="10">
        <v>478.26</v>
      </c>
      <c r="I509" s="10">
        <v>90</v>
      </c>
      <c r="K509" s="10">
        <f t="shared" ref="K509" si="513">SQRT((F509-F507)^2+(H509-H507)^2)</f>
        <v>3.048044122055984</v>
      </c>
      <c r="L509" s="10">
        <f t="shared" ref="L509" si="514">L507+K509</f>
        <v>478.78804341180603</v>
      </c>
    </row>
    <row r="510" spans="1:12" x14ac:dyDescent="0.35">
      <c r="A510" s="10"/>
      <c r="B510" s="2" t="s">
        <v>15</v>
      </c>
      <c r="C510" t="s">
        <v>15</v>
      </c>
      <c r="D510" t="s">
        <v>15</v>
      </c>
      <c r="E510" t="s">
        <v>15</v>
      </c>
      <c r="F510" s="10"/>
      <c r="G510" s="10"/>
      <c r="H510" s="10"/>
      <c r="I510" s="10"/>
      <c r="K510" s="10"/>
      <c r="L510" s="10"/>
    </row>
    <row r="511" spans="1:12" x14ac:dyDescent="0.35">
      <c r="A511" s="10">
        <v>479.995</v>
      </c>
      <c r="B511" s="2" t="s">
        <v>9</v>
      </c>
      <c r="C511" t="s">
        <v>153</v>
      </c>
      <c r="D511" t="s">
        <v>66</v>
      </c>
      <c r="E511" t="s">
        <v>67</v>
      </c>
      <c r="F511" s="10">
        <v>17.956199999999999</v>
      </c>
      <c r="G511" s="10">
        <v>-0.37369999999999998</v>
      </c>
      <c r="H511" s="10">
        <v>479.46539999999999</v>
      </c>
      <c r="I511" s="10">
        <v>0</v>
      </c>
      <c r="K511" s="10">
        <f t="shared" ref="K511" si="515">SQRT((F511-F509)^2+(H511-H509)^2)</f>
        <v>1.2060470181547622</v>
      </c>
      <c r="L511" s="10">
        <f t="shared" ref="L511" si="516">L509+K511</f>
        <v>479.99409042996081</v>
      </c>
    </row>
    <row r="512" spans="1:12" x14ac:dyDescent="0.35">
      <c r="A512" s="10">
        <v>481.51900000000001</v>
      </c>
      <c r="B512" s="2" t="s">
        <v>13</v>
      </c>
      <c r="C512" t="s">
        <v>153</v>
      </c>
      <c r="D512" t="s">
        <v>66</v>
      </c>
      <c r="E512" t="s">
        <v>67</v>
      </c>
      <c r="F512" s="10">
        <v>18.006250000000001</v>
      </c>
      <c r="G512" s="10">
        <v>-0.37159999999999999</v>
      </c>
      <c r="H512" s="10">
        <v>480.98860000000002</v>
      </c>
      <c r="I512" s="10">
        <v>0</v>
      </c>
      <c r="K512" s="10"/>
      <c r="L512" s="10">
        <f t="shared" ref="L512" si="517">(L511+L513)/2</f>
        <v>481.51811249098881</v>
      </c>
    </row>
    <row r="513" spans="1:12" x14ac:dyDescent="0.35">
      <c r="A513" s="10">
        <v>483.04300000000001</v>
      </c>
      <c r="B513" s="2" t="s">
        <v>14</v>
      </c>
      <c r="C513" t="s">
        <v>153</v>
      </c>
      <c r="D513" t="s">
        <v>66</v>
      </c>
      <c r="E513" t="s">
        <v>67</v>
      </c>
      <c r="F513" s="10">
        <v>18.0563</v>
      </c>
      <c r="G513" s="10">
        <v>-0.3695</v>
      </c>
      <c r="H513" s="10">
        <v>482.51179999999999</v>
      </c>
      <c r="I513" s="10">
        <v>0</v>
      </c>
      <c r="K513" s="10">
        <f t="shared" ref="K513" si="518">SQRT((F513-F511)^2+(H513-H511)^2)</f>
        <v>3.048044122055984</v>
      </c>
      <c r="L513" s="10">
        <f t="shared" ref="L513" si="519">L511+K513</f>
        <v>483.04213455201682</v>
      </c>
    </row>
    <row r="514" spans="1:12" x14ac:dyDescent="0.35">
      <c r="A514" s="10"/>
      <c r="B514" s="2" t="s">
        <v>15</v>
      </c>
      <c r="C514" t="s">
        <v>15</v>
      </c>
      <c r="D514" t="s">
        <v>15</v>
      </c>
      <c r="E514" t="s">
        <v>15</v>
      </c>
      <c r="F514" s="10"/>
      <c r="G514" s="10"/>
      <c r="H514" s="10"/>
      <c r="I514" s="10"/>
      <c r="K514" s="10"/>
      <c r="L514" s="10"/>
    </row>
    <row r="515" spans="1:12" x14ac:dyDescent="0.35">
      <c r="A515" s="10">
        <v>483.92</v>
      </c>
      <c r="B515" s="2" t="s">
        <v>9</v>
      </c>
      <c r="C515" t="s">
        <v>154</v>
      </c>
      <c r="D515" t="s">
        <v>100</v>
      </c>
      <c r="E515" t="s">
        <v>77</v>
      </c>
      <c r="F515" s="10">
        <v>18.085000000000001</v>
      </c>
      <c r="G515" s="10">
        <v>-0.36820000000000003</v>
      </c>
      <c r="H515" s="10">
        <v>483.38760000000002</v>
      </c>
      <c r="I515" s="10">
        <v>0</v>
      </c>
      <c r="K515" s="10">
        <f t="shared" ref="K515" si="520">SQRT((F515-F513)^2+(H515-H513)^2)</f>
        <v>0.87627012387736147</v>
      </c>
      <c r="L515" s="10">
        <f t="shared" ref="L515" si="521">L513+K515</f>
        <v>483.91840467589418</v>
      </c>
    </row>
    <row r="516" spans="1:12" x14ac:dyDescent="0.35">
      <c r="A516" s="10">
        <v>484.30099999999999</v>
      </c>
      <c r="B516" s="2" t="s">
        <v>13</v>
      </c>
      <c r="C516" t="s">
        <v>154</v>
      </c>
      <c r="D516" t="s">
        <v>100</v>
      </c>
      <c r="E516" t="s">
        <v>77</v>
      </c>
      <c r="F516" s="10">
        <v>18.0975</v>
      </c>
      <c r="G516" s="10">
        <v>-0.36770000000000003</v>
      </c>
      <c r="H516" s="10">
        <v>483.76839999999999</v>
      </c>
      <c r="I516" s="10">
        <v>0</v>
      </c>
      <c r="K516" s="10"/>
      <c r="L516" s="10">
        <f t="shared" ref="L516" si="522">(L515+L517)/2</f>
        <v>484.29940978084687</v>
      </c>
    </row>
    <row r="517" spans="1:12" x14ac:dyDescent="0.35">
      <c r="A517" s="10">
        <v>484.68200000000002</v>
      </c>
      <c r="B517" s="2" t="s">
        <v>14</v>
      </c>
      <c r="C517" t="s">
        <v>154</v>
      </c>
      <c r="D517" t="s">
        <v>100</v>
      </c>
      <c r="E517" t="s">
        <v>77</v>
      </c>
      <c r="F517" s="10">
        <v>18.11</v>
      </c>
      <c r="G517" s="10">
        <v>-0.36720000000000003</v>
      </c>
      <c r="H517" s="10">
        <v>484.14920000000001</v>
      </c>
      <c r="I517" s="10">
        <v>0</v>
      </c>
      <c r="K517" s="10">
        <f t="shared" ref="K517" si="523">SQRT((F517-F515)^2+(H517-H515)^2)</f>
        <v>0.76201020990533996</v>
      </c>
      <c r="L517" s="10">
        <f t="shared" ref="L517" si="524">L515+K517</f>
        <v>484.68041488579951</v>
      </c>
    </row>
    <row r="518" spans="1:12" x14ac:dyDescent="0.35">
      <c r="A518" s="10"/>
      <c r="B518" s="2" t="s">
        <v>15</v>
      </c>
      <c r="C518" t="s">
        <v>15</v>
      </c>
      <c r="D518" t="s">
        <v>15</v>
      </c>
      <c r="E518" t="s">
        <v>15</v>
      </c>
      <c r="F518" s="10"/>
      <c r="G518" s="10"/>
      <c r="H518" s="10"/>
      <c r="I518" s="10"/>
      <c r="K518" s="10"/>
      <c r="L518" s="10"/>
    </row>
    <row r="519" spans="1:12" x14ac:dyDescent="0.35">
      <c r="A519" s="10">
        <v>485.55799999999999</v>
      </c>
      <c r="B519" s="2" t="s">
        <v>9</v>
      </c>
      <c r="C519" t="s">
        <v>155</v>
      </c>
      <c r="D519" t="s">
        <v>136</v>
      </c>
      <c r="E519" t="s">
        <v>77</v>
      </c>
      <c r="F519" s="10">
        <v>18.1388</v>
      </c>
      <c r="G519" s="10">
        <v>-0.3659</v>
      </c>
      <c r="H519" s="10">
        <v>485.02499999999998</v>
      </c>
      <c r="I519" s="10">
        <v>0</v>
      </c>
      <c r="K519" s="10">
        <f t="shared" ref="K519" si="525">SQRT((F519-F517)^2+(H519-H517)^2)</f>
        <v>0.8762734048229166</v>
      </c>
      <c r="L519" s="10">
        <f t="shared" ref="L519" si="526">L517+K519</f>
        <v>485.55668829062245</v>
      </c>
    </row>
    <row r="520" spans="1:12" x14ac:dyDescent="0.35">
      <c r="A520" s="10">
        <v>485.93900000000002</v>
      </c>
      <c r="B520" s="2" t="s">
        <v>13</v>
      </c>
      <c r="C520" t="s">
        <v>155</v>
      </c>
      <c r="D520" t="s">
        <v>136</v>
      </c>
      <c r="E520" t="s">
        <v>77</v>
      </c>
      <c r="F520" s="10">
        <v>18.151299999999999</v>
      </c>
      <c r="G520" s="10">
        <v>-0.3654</v>
      </c>
      <c r="H520" s="10">
        <v>485.4058</v>
      </c>
      <c r="I520" s="10">
        <v>0</v>
      </c>
      <c r="K520" s="10"/>
      <c r="L520" s="10">
        <f t="shared" ref="L520" si="527">(L519+L521)/2</f>
        <v>485.93769339557514</v>
      </c>
    </row>
    <row r="521" spans="1:12" x14ac:dyDescent="0.35">
      <c r="A521" s="10">
        <v>486.32</v>
      </c>
      <c r="B521" s="2" t="s">
        <v>14</v>
      </c>
      <c r="C521" t="s">
        <v>155</v>
      </c>
      <c r="D521" t="s">
        <v>136</v>
      </c>
      <c r="E521" t="s">
        <v>77</v>
      </c>
      <c r="F521" s="10">
        <v>18.163799999999998</v>
      </c>
      <c r="G521" s="10">
        <v>-0.3649</v>
      </c>
      <c r="H521" s="10">
        <v>485.78660000000002</v>
      </c>
      <c r="I521" s="10">
        <v>0</v>
      </c>
      <c r="K521" s="10">
        <f t="shared" ref="K521" si="528">SQRT((F521-F519)^2+(H521-H519)^2)</f>
        <v>0.76201020990539681</v>
      </c>
      <c r="L521" s="10">
        <f t="shared" ref="L521" si="529">L519+K521</f>
        <v>486.31869850052783</v>
      </c>
    </row>
    <row r="522" spans="1:12" x14ac:dyDescent="0.35">
      <c r="A522" s="10"/>
      <c r="B522" s="2" t="s">
        <v>15</v>
      </c>
      <c r="C522" t="s">
        <v>15</v>
      </c>
      <c r="D522" t="s">
        <v>15</v>
      </c>
      <c r="E522" t="s">
        <v>15</v>
      </c>
      <c r="F522" s="10"/>
      <c r="G522" s="10"/>
      <c r="H522" s="10"/>
      <c r="I522" s="10"/>
      <c r="K522" s="10"/>
      <c r="L522" s="10"/>
    </row>
    <row r="523" spans="1:12" x14ac:dyDescent="0.35">
      <c r="A523" s="10">
        <v>486.73899999999998</v>
      </c>
      <c r="B523" s="2" t="s">
        <v>9</v>
      </c>
      <c r="C523" t="s">
        <v>156</v>
      </c>
      <c r="D523" t="s">
        <v>11</v>
      </c>
      <c r="E523" t="s">
        <v>24</v>
      </c>
      <c r="F523" s="10">
        <v>18.177600000000002</v>
      </c>
      <c r="G523" s="10">
        <v>-0.36430000000000001</v>
      </c>
      <c r="H523" s="10">
        <v>486.20549999999997</v>
      </c>
      <c r="I523" s="10">
        <v>0</v>
      </c>
      <c r="K523" s="10">
        <f t="shared" ref="K523" si="530">SQRT((F523-F521)^2+(H523-H521)^2)</f>
        <v>0.41912724798079998</v>
      </c>
      <c r="L523" s="10">
        <f t="shared" ref="L523" si="531">L521+K523</f>
        <v>486.73782574850861</v>
      </c>
    </row>
    <row r="524" spans="1:12" x14ac:dyDescent="0.35">
      <c r="A524" s="10">
        <v>486.73899999999998</v>
      </c>
      <c r="B524" s="2" t="s">
        <v>13</v>
      </c>
      <c r="C524" t="s">
        <v>156</v>
      </c>
      <c r="D524" t="s">
        <v>11</v>
      </c>
      <c r="E524" t="s">
        <v>24</v>
      </c>
      <c r="F524" s="10">
        <v>18.177600000000002</v>
      </c>
      <c r="G524" s="10">
        <v>-0.36430000000000001</v>
      </c>
      <c r="H524" s="10">
        <v>486.20549999999997</v>
      </c>
      <c r="I524" s="10">
        <v>0</v>
      </c>
      <c r="K524" s="10"/>
      <c r="L524" s="10">
        <f t="shared" ref="L524" si="532">(L523+L525)/2</f>
        <v>486.73782574850861</v>
      </c>
    </row>
    <row r="525" spans="1:12" x14ac:dyDescent="0.35">
      <c r="A525" s="10">
        <v>486.73899999999998</v>
      </c>
      <c r="B525" s="2" t="s">
        <v>14</v>
      </c>
      <c r="C525" t="s">
        <v>156</v>
      </c>
      <c r="D525" t="s">
        <v>11</v>
      </c>
      <c r="E525" t="s">
        <v>24</v>
      </c>
      <c r="F525" s="10">
        <v>18.177600000000002</v>
      </c>
      <c r="G525" s="10">
        <v>-0.36430000000000001</v>
      </c>
      <c r="H525" s="10">
        <v>486.20549999999997</v>
      </c>
      <c r="I525" s="10">
        <v>0</v>
      </c>
      <c r="K525" s="10">
        <f t="shared" ref="K525" si="533">SQRT((F525-F523)^2+(H525-H523)^2)</f>
        <v>0</v>
      </c>
      <c r="L525" s="10">
        <f t="shared" ref="L525" si="534">L523+K525</f>
        <v>486.73782574850861</v>
      </c>
    </row>
    <row r="526" spans="1:12" x14ac:dyDescent="0.35">
      <c r="A526" s="10"/>
      <c r="B526" s="2" t="s">
        <v>15</v>
      </c>
      <c r="C526" t="s">
        <v>15</v>
      </c>
      <c r="D526" t="s">
        <v>15</v>
      </c>
      <c r="E526" t="s">
        <v>15</v>
      </c>
      <c r="F526" s="10"/>
      <c r="G526" s="10"/>
      <c r="H526" s="10"/>
      <c r="I526" s="10"/>
      <c r="K526" s="10"/>
      <c r="L526" s="10"/>
    </row>
    <row r="527" spans="1:12" x14ac:dyDescent="0.35">
      <c r="A527" s="10">
        <v>488.923</v>
      </c>
      <c r="B527" s="2" t="s">
        <v>9</v>
      </c>
      <c r="C527" t="s">
        <v>55</v>
      </c>
      <c r="D527" t="s">
        <v>11</v>
      </c>
      <c r="E527" t="s">
        <v>56</v>
      </c>
      <c r="F527" s="10">
        <v>18.249199999999998</v>
      </c>
      <c r="G527" s="10">
        <v>-0.36120000000000002</v>
      </c>
      <c r="H527" s="10">
        <v>488.38869999999997</v>
      </c>
      <c r="I527" s="10">
        <v>0</v>
      </c>
      <c r="K527" s="10">
        <f t="shared" ref="K527" si="535">SQRT((F527-F525)^2+(H527-H525)^2)</f>
        <v>2.1843737775389993</v>
      </c>
      <c r="L527" s="10">
        <f t="shared" ref="L527" si="536">L525+K527</f>
        <v>488.92219952604762</v>
      </c>
    </row>
    <row r="528" spans="1:12" x14ac:dyDescent="0.35">
      <c r="A528" s="10">
        <v>488.923</v>
      </c>
      <c r="B528" s="2" t="s">
        <v>13</v>
      </c>
      <c r="C528" t="s">
        <v>55</v>
      </c>
      <c r="D528" t="s">
        <v>11</v>
      </c>
      <c r="E528" t="s">
        <v>56</v>
      </c>
      <c r="F528" s="10">
        <v>18.249199999999998</v>
      </c>
      <c r="G528" s="10">
        <v>-0.36120000000000002</v>
      </c>
      <c r="H528" s="10">
        <v>488.38869999999997</v>
      </c>
      <c r="I528" s="10">
        <v>0</v>
      </c>
      <c r="K528" s="10"/>
      <c r="L528" s="10">
        <f t="shared" ref="L528" si="537">(L527+L529)/2</f>
        <v>488.92219952604762</v>
      </c>
    </row>
    <row r="529" spans="1:12" x14ac:dyDescent="0.35">
      <c r="A529" s="10">
        <v>488.923</v>
      </c>
      <c r="B529" s="2" t="s">
        <v>14</v>
      </c>
      <c r="C529" t="s">
        <v>55</v>
      </c>
      <c r="D529" t="s">
        <v>11</v>
      </c>
      <c r="E529" t="s">
        <v>56</v>
      </c>
      <c r="F529" s="10">
        <v>18.249199999999998</v>
      </c>
      <c r="G529" s="10">
        <v>-0.36120000000000002</v>
      </c>
      <c r="H529" s="10">
        <v>488.38869999999997</v>
      </c>
      <c r="I529" s="10">
        <v>0</v>
      </c>
      <c r="K529" s="10">
        <f t="shared" ref="K529" si="538">SQRT((F529-F527)^2+(H529-H527)^2)</f>
        <v>0</v>
      </c>
      <c r="L529" s="10">
        <f t="shared" ref="L529" si="539">L527+K529</f>
        <v>488.92219952604762</v>
      </c>
    </row>
    <row r="530" spans="1:12" x14ac:dyDescent="0.35">
      <c r="A530" s="10"/>
      <c r="B530" s="2" t="s">
        <v>15</v>
      </c>
      <c r="C530" t="s">
        <v>15</v>
      </c>
      <c r="D530" t="s">
        <v>15</v>
      </c>
      <c r="E530" t="s">
        <v>15</v>
      </c>
      <c r="F530" s="10"/>
      <c r="G530" s="10"/>
      <c r="H530" s="10"/>
      <c r="I530" s="10"/>
      <c r="K530" s="10"/>
      <c r="L530" s="10"/>
    </row>
    <row r="531" spans="1:12" x14ac:dyDescent="0.35">
      <c r="A531" s="10">
        <v>504.214</v>
      </c>
      <c r="B531" s="2" t="s">
        <v>9</v>
      </c>
      <c r="C531" t="s">
        <v>55</v>
      </c>
      <c r="D531" t="s">
        <v>11</v>
      </c>
      <c r="E531" t="s">
        <v>56</v>
      </c>
      <c r="F531" s="10">
        <v>18.751000000000001</v>
      </c>
      <c r="G531" s="10">
        <v>-0.33989999999999998</v>
      </c>
      <c r="H531" s="10">
        <v>503.67129999999997</v>
      </c>
      <c r="I531" s="10">
        <v>0</v>
      </c>
      <c r="K531" s="10">
        <f t="shared" ref="K531" si="540">SQRT((F531-F529)^2+(H531-H529)^2)</f>
        <v>15.290836013769818</v>
      </c>
      <c r="L531" s="10">
        <f t="shared" ref="L531" si="541">L529+K531</f>
        <v>504.21303553981744</v>
      </c>
    </row>
    <row r="532" spans="1:12" x14ac:dyDescent="0.35">
      <c r="A532" s="10">
        <v>504.214</v>
      </c>
      <c r="B532" s="2" t="s">
        <v>13</v>
      </c>
      <c r="C532" t="s">
        <v>55</v>
      </c>
      <c r="D532" t="s">
        <v>11</v>
      </c>
      <c r="E532" t="s">
        <v>56</v>
      </c>
      <c r="F532" s="10">
        <v>18.751000000000001</v>
      </c>
      <c r="G532" s="10">
        <v>-0.33989999999999998</v>
      </c>
      <c r="H532" s="10">
        <v>503.67129999999997</v>
      </c>
      <c r="I532" s="10">
        <v>0</v>
      </c>
      <c r="K532" s="10"/>
      <c r="L532" s="10">
        <f t="shared" ref="L532" si="542">(L531+L533)/2</f>
        <v>504.21303553981744</v>
      </c>
    </row>
    <row r="533" spans="1:12" x14ac:dyDescent="0.35">
      <c r="A533" s="10">
        <v>504.214</v>
      </c>
      <c r="B533" s="2" t="s">
        <v>14</v>
      </c>
      <c r="C533" t="s">
        <v>55</v>
      </c>
      <c r="D533" t="s">
        <v>11</v>
      </c>
      <c r="E533" t="s">
        <v>56</v>
      </c>
      <c r="F533" s="10">
        <v>18.751000000000001</v>
      </c>
      <c r="G533" s="10">
        <v>-0.33989999999999998</v>
      </c>
      <c r="H533" s="10">
        <v>503.67129999999997</v>
      </c>
      <c r="I533" s="10">
        <v>0</v>
      </c>
      <c r="K533" s="10">
        <f t="shared" ref="K533" si="543">SQRT((F533-F531)^2+(H533-H531)^2)</f>
        <v>0</v>
      </c>
      <c r="L533" s="10">
        <f t="shared" ref="L533" si="544">L531+K533</f>
        <v>504.21303553981744</v>
      </c>
    </row>
    <row r="534" spans="1:12" x14ac:dyDescent="0.35">
      <c r="A534" s="10"/>
      <c r="B534" s="2" t="s">
        <v>15</v>
      </c>
      <c r="C534" t="s">
        <v>15</v>
      </c>
      <c r="D534" t="s">
        <v>15</v>
      </c>
      <c r="E534" t="s">
        <v>15</v>
      </c>
      <c r="F534" s="10"/>
      <c r="G534" s="10"/>
      <c r="H534" s="10"/>
      <c r="I534" s="10"/>
      <c r="K534" s="10"/>
      <c r="L534" s="10"/>
    </row>
    <row r="535" spans="1:12" x14ac:dyDescent="0.35">
      <c r="A535" s="10">
        <v>521.13400000000001</v>
      </c>
      <c r="B535" s="2" t="s">
        <v>9</v>
      </c>
      <c r="C535" t="s">
        <v>157</v>
      </c>
      <c r="D535" t="s">
        <v>11</v>
      </c>
      <c r="E535" t="s">
        <v>12</v>
      </c>
      <c r="F535" s="10">
        <v>19.3063</v>
      </c>
      <c r="G535" s="10">
        <v>-0.31619999999999998</v>
      </c>
      <c r="H535" s="10">
        <v>520.58219999999994</v>
      </c>
      <c r="I535" s="10">
        <v>0</v>
      </c>
      <c r="K535" s="10">
        <f t="shared" ref="K535" si="545">SQRT((F535-F533)^2+(H535-H533)^2)</f>
        <v>16.920014683799746</v>
      </c>
      <c r="L535" s="10">
        <f t="shared" ref="L535" si="546">L533+K535</f>
        <v>521.13305022361715</v>
      </c>
    </row>
    <row r="536" spans="1:12" x14ac:dyDescent="0.35">
      <c r="A536" s="10">
        <v>521.13400000000001</v>
      </c>
      <c r="B536" s="2" t="s">
        <v>13</v>
      </c>
      <c r="C536" t="s">
        <v>157</v>
      </c>
      <c r="D536" t="s">
        <v>11</v>
      </c>
      <c r="E536" t="s">
        <v>12</v>
      </c>
      <c r="F536" s="10">
        <v>19.3063</v>
      </c>
      <c r="G536" s="10">
        <v>-0.31619999999999998</v>
      </c>
      <c r="H536" s="10">
        <v>520.58219999999994</v>
      </c>
      <c r="I536" s="10">
        <v>0</v>
      </c>
      <c r="K536" s="10"/>
      <c r="L536" s="10">
        <f t="shared" ref="L536" si="547">(L535+L537)/2</f>
        <v>521.13305022361715</v>
      </c>
    </row>
    <row r="537" spans="1:12" x14ac:dyDescent="0.35">
      <c r="A537" s="10">
        <v>521.13400000000001</v>
      </c>
      <c r="B537" s="2" t="s">
        <v>14</v>
      </c>
      <c r="C537" t="s">
        <v>157</v>
      </c>
      <c r="D537" t="s">
        <v>11</v>
      </c>
      <c r="E537" t="s">
        <v>12</v>
      </c>
      <c r="F537" s="10">
        <v>19.3063</v>
      </c>
      <c r="G537" s="10">
        <v>-0.31619999999999998</v>
      </c>
      <c r="H537" s="10">
        <v>520.58219999999994</v>
      </c>
      <c r="I537" s="10">
        <v>0</v>
      </c>
      <c r="K537" s="10">
        <f t="shared" ref="K537" si="548">SQRT((F537-F535)^2+(H537-H535)^2)</f>
        <v>0</v>
      </c>
      <c r="L537" s="10">
        <f t="shared" ref="L537" si="549">L535+K537</f>
        <v>521.13305022361715</v>
      </c>
    </row>
    <row r="538" spans="1:12" x14ac:dyDescent="0.35">
      <c r="A538" s="10"/>
      <c r="B538" s="2" t="s">
        <v>15</v>
      </c>
      <c r="C538" t="s">
        <v>15</v>
      </c>
      <c r="D538" t="s">
        <v>15</v>
      </c>
      <c r="E538" t="s">
        <v>15</v>
      </c>
      <c r="F538" s="10"/>
      <c r="G538" s="10"/>
      <c r="H538" s="10"/>
      <c r="I538" s="10"/>
      <c r="K538" s="10"/>
      <c r="L538" s="10"/>
    </row>
    <row r="539" spans="1:12" x14ac:dyDescent="0.35">
      <c r="A539" s="10">
        <v>521.13400000000001</v>
      </c>
      <c r="B539" s="2" t="s">
        <v>9</v>
      </c>
      <c r="C539" t="s">
        <v>158</v>
      </c>
      <c r="D539" t="s">
        <v>11</v>
      </c>
      <c r="E539" t="s">
        <v>12</v>
      </c>
      <c r="F539" s="10">
        <v>19.3063</v>
      </c>
      <c r="G539" s="10">
        <v>-0.31619999999999998</v>
      </c>
      <c r="H539" s="10">
        <v>520.58219999999994</v>
      </c>
      <c r="I539" s="10">
        <v>0</v>
      </c>
      <c r="K539" s="10">
        <f t="shared" ref="K539" si="550">SQRT((F539-F537)^2+(H539-H537)^2)</f>
        <v>0</v>
      </c>
      <c r="L539" s="10">
        <f t="shared" ref="L539" si="551">L537+K539</f>
        <v>521.13305022361715</v>
      </c>
    </row>
    <row r="540" spans="1:12" x14ac:dyDescent="0.35">
      <c r="A540" s="10">
        <v>521.13400000000001</v>
      </c>
      <c r="B540" s="2" t="s">
        <v>13</v>
      </c>
      <c r="C540" t="s">
        <v>158</v>
      </c>
      <c r="D540" t="s">
        <v>11</v>
      </c>
      <c r="E540" t="s">
        <v>12</v>
      </c>
      <c r="F540" s="10">
        <v>19.3063</v>
      </c>
      <c r="G540" s="10">
        <v>-0.31619999999999998</v>
      </c>
      <c r="H540" s="10">
        <v>520.58219999999994</v>
      </c>
      <c r="I540" s="10">
        <v>0</v>
      </c>
      <c r="K540" s="10"/>
      <c r="L540" s="10">
        <f t="shared" ref="L540" si="552">(L539+L541)/2</f>
        <v>521.13305022361715</v>
      </c>
    </row>
    <row r="541" spans="1:12" x14ac:dyDescent="0.35">
      <c r="A541" s="10">
        <v>521.13400000000001</v>
      </c>
      <c r="B541" s="2" t="s">
        <v>14</v>
      </c>
      <c r="C541" t="s">
        <v>158</v>
      </c>
      <c r="D541" t="s">
        <v>11</v>
      </c>
      <c r="E541" t="s">
        <v>12</v>
      </c>
      <c r="F541" s="10">
        <v>19.3063</v>
      </c>
      <c r="G541" s="10">
        <v>-0.31619999999999998</v>
      </c>
      <c r="H541" s="10">
        <v>520.58219999999994</v>
      </c>
      <c r="I541" s="10">
        <v>0</v>
      </c>
      <c r="K541" s="10">
        <f t="shared" ref="K541" si="553">SQRT((F541-F539)^2+(H541-H539)^2)</f>
        <v>0</v>
      </c>
      <c r="L541" s="10">
        <f t="shared" ref="L541" si="554">L539+K541</f>
        <v>521.13305022361715</v>
      </c>
    </row>
    <row r="542" spans="1:12" x14ac:dyDescent="0.35">
      <c r="A542" s="10"/>
      <c r="B542" s="2" t="s">
        <v>15</v>
      </c>
      <c r="C542" t="s">
        <v>15</v>
      </c>
      <c r="D542" t="s">
        <v>15</v>
      </c>
      <c r="E542" t="s">
        <v>15</v>
      </c>
      <c r="F542" s="10"/>
      <c r="G542" s="10"/>
      <c r="H542" s="10"/>
      <c r="I542" s="10"/>
      <c r="K542" s="10"/>
      <c r="L542" s="10"/>
    </row>
    <row r="543" spans="1:12" x14ac:dyDescent="0.35">
      <c r="A543" s="10">
        <v>521.13400000000001</v>
      </c>
      <c r="B543" s="2" t="s">
        <v>9</v>
      </c>
      <c r="C543" t="s">
        <v>55</v>
      </c>
      <c r="D543" t="s">
        <v>11</v>
      </c>
      <c r="E543" t="s">
        <v>56</v>
      </c>
      <c r="F543" s="10">
        <v>19.3063</v>
      </c>
      <c r="G543" s="10">
        <v>-0.31619999999999998</v>
      </c>
      <c r="H543" s="10">
        <v>520.58219999999994</v>
      </c>
      <c r="I543" s="10">
        <v>0</v>
      </c>
      <c r="K543" s="10">
        <f t="shared" ref="K543" si="555">SQRT((F543-F541)^2+(H543-H541)^2)</f>
        <v>0</v>
      </c>
      <c r="L543" s="10">
        <f t="shared" ref="L543" si="556">L541+K543</f>
        <v>521.13305022361715</v>
      </c>
    </row>
    <row r="544" spans="1:12" x14ac:dyDescent="0.35">
      <c r="A544" s="10">
        <v>521.13400000000001</v>
      </c>
      <c r="B544" s="2" t="s">
        <v>13</v>
      </c>
      <c r="C544" t="s">
        <v>55</v>
      </c>
      <c r="D544" t="s">
        <v>11</v>
      </c>
      <c r="E544" t="s">
        <v>56</v>
      </c>
      <c r="F544" s="10">
        <v>19.3063</v>
      </c>
      <c r="G544" s="10">
        <v>-0.31619999999999998</v>
      </c>
      <c r="H544" s="10">
        <v>520.58219999999994</v>
      </c>
      <c r="I544" s="10">
        <v>0</v>
      </c>
      <c r="K544" s="10"/>
      <c r="L544" s="10">
        <f t="shared" ref="L544" si="557">(L543+L545)/2</f>
        <v>521.13305022361715</v>
      </c>
    </row>
    <row r="545" spans="1:12" x14ac:dyDescent="0.35">
      <c r="A545" s="10">
        <v>521.13400000000001</v>
      </c>
      <c r="B545" s="2" t="s">
        <v>14</v>
      </c>
      <c r="C545" t="s">
        <v>55</v>
      </c>
      <c r="D545" t="s">
        <v>11</v>
      </c>
      <c r="E545" t="s">
        <v>56</v>
      </c>
      <c r="F545" s="10">
        <v>19.3063</v>
      </c>
      <c r="G545" s="10">
        <v>-0.31619999999999998</v>
      </c>
      <c r="H545" s="10">
        <v>520.58219999999994</v>
      </c>
      <c r="I545" s="10">
        <v>0</v>
      </c>
      <c r="K545" s="10">
        <f t="shared" ref="K545" si="558">SQRT((F545-F543)^2+(H545-H543)^2)</f>
        <v>0</v>
      </c>
      <c r="L545" s="10">
        <f t="shared" ref="L545" si="559">L543+K545</f>
        <v>521.13305022361715</v>
      </c>
    </row>
    <row r="546" spans="1:12" x14ac:dyDescent="0.35">
      <c r="A546" s="10"/>
      <c r="B546" s="2" t="s">
        <v>15</v>
      </c>
      <c r="C546" t="s">
        <v>15</v>
      </c>
      <c r="D546" t="s">
        <v>15</v>
      </c>
      <c r="E546" t="s">
        <v>15</v>
      </c>
      <c r="F546" s="10"/>
      <c r="G546" s="10"/>
      <c r="H546" s="10"/>
      <c r="I546" s="10"/>
      <c r="K546" s="10"/>
      <c r="L546" s="10"/>
    </row>
    <row r="547" spans="1:12" x14ac:dyDescent="0.35">
      <c r="A547" s="10">
        <v>521.16499999999996</v>
      </c>
      <c r="B547" s="2" t="s">
        <v>9</v>
      </c>
      <c r="C547" t="s">
        <v>159</v>
      </c>
      <c r="D547" t="s">
        <v>11</v>
      </c>
      <c r="E547" t="s">
        <v>142</v>
      </c>
      <c r="F547" s="10">
        <v>19.307300000000001</v>
      </c>
      <c r="G547" s="10">
        <v>-0.31619999999999998</v>
      </c>
      <c r="H547" s="10">
        <v>520.61260000000004</v>
      </c>
      <c r="I547" s="10">
        <v>0</v>
      </c>
      <c r="K547" s="10">
        <f t="shared" ref="K547" si="560">SQRT((F547-F545)^2+(H547-H545)^2)</f>
        <v>3.041644292165116E-2</v>
      </c>
      <c r="L547" s="10">
        <f t="shared" ref="L547" si="561">L545+K547</f>
        <v>521.16346666653885</v>
      </c>
    </row>
    <row r="548" spans="1:12" x14ac:dyDescent="0.35">
      <c r="A548" s="10">
        <v>521.16499999999996</v>
      </c>
      <c r="B548" s="2" t="s">
        <v>13</v>
      </c>
      <c r="C548" t="s">
        <v>159</v>
      </c>
      <c r="D548" t="s">
        <v>11</v>
      </c>
      <c r="E548" t="s">
        <v>142</v>
      </c>
      <c r="F548" s="10">
        <v>19.307300000000001</v>
      </c>
      <c r="G548" s="10">
        <v>-0.31619999999999998</v>
      </c>
      <c r="H548" s="10">
        <v>520.61260000000004</v>
      </c>
      <c r="I548" s="10">
        <v>0</v>
      </c>
      <c r="K548" s="10"/>
      <c r="L548" s="10">
        <f t="shared" ref="L548" si="562">(L547+L549)/2</f>
        <v>521.16346666653885</v>
      </c>
    </row>
    <row r="549" spans="1:12" x14ac:dyDescent="0.35">
      <c r="A549" s="10">
        <v>521.16499999999996</v>
      </c>
      <c r="B549" s="2" t="s">
        <v>14</v>
      </c>
      <c r="C549" t="s">
        <v>159</v>
      </c>
      <c r="D549" t="s">
        <v>11</v>
      </c>
      <c r="E549" t="s">
        <v>142</v>
      </c>
      <c r="F549" s="10">
        <v>19.307300000000001</v>
      </c>
      <c r="G549" s="10">
        <v>-0.31619999999999998</v>
      </c>
      <c r="H549" s="10">
        <v>520.61260000000004</v>
      </c>
      <c r="I549" s="10">
        <v>0</v>
      </c>
      <c r="K549" s="10">
        <f t="shared" ref="K549" si="563">SQRT((F549-F547)^2+(H549-H547)^2)</f>
        <v>0</v>
      </c>
      <c r="L549" s="10">
        <f t="shared" ref="L549" si="564">L547+K549</f>
        <v>521.16346666653885</v>
      </c>
    </row>
    <row r="550" spans="1:12" x14ac:dyDescent="0.35">
      <c r="A550" s="10"/>
      <c r="B550" s="2" t="s">
        <v>15</v>
      </c>
      <c r="C550" t="s">
        <v>15</v>
      </c>
      <c r="D550" t="s">
        <v>15</v>
      </c>
      <c r="E550" t="s">
        <v>15</v>
      </c>
      <c r="F550" s="10"/>
      <c r="G550" s="10"/>
      <c r="H550" s="10"/>
      <c r="I550" s="10"/>
      <c r="K550" s="10"/>
      <c r="L550" s="10"/>
    </row>
    <row r="551" spans="1:12" x14ac:dyDescent="0.35">
      <c r="A551" s="10">
        <v>521.19500000000005</v>
      </c>
      <c r="B551" s="2" t="s">
        <v>9</v>
      </c>
      <c r="C551" t="s">
        <v>160</v>
      </c>
      <c r="D551" t="s">
        <v>11</v>
      </c>
      <c r="E551" t="s">
        <v>24</v>
      </c>
      <c r="F551" s="10">
        <v>19.308299999999999</v>
      </c>
      <c r="G551" s="10">
        <v>-0.31619999999999998</v>
      </c>
      <c r="H551" s="10">
        <v>520.6431</v>
      </c>
      <c r="I551" s="10">
        <v>0</v>
      </c>
      <c r="K551" s="10">
        <f t="shared" ref="K551" si="565">SQRT((F551-F549)^2+(H551-H549)^2)</f>
        <v>3.0516389039295093E-2</v>
      </c>
      <c r="L551" s="10">
        <f t="shared" ref="L551" si="566">L549+K551</f>
        <v>521.1939830555782</v>
      </c>
    </row>
    <row r="552" spans="1:12" x14ac:dyDescent="0.35">
      <c r="A552" s="10">
        <v>521.19500000000005</v>
      </c>
      <c r="B552" s="2" t="s">
        <v>13</v>
      </c>
      <c r="C552" t="s">
        <v>160</v>
      </c>
      <c r="D552" t="s">
        <v>11</v>
      </c>
      <c r="E552" t="s">
        <v>24</v>
      </c>
      <c r="F552" s="10">
        <v>19.308299999999999</v>
      </c>
      <c r="G552" s="10">
        <v>-0.31619999999999998</v>
      </c>
      <c r="H552" s="10">
        <v>520.6431</v>
      </c>
      <c r="I552" s="10">
        <v>0</v>
      </c>
      <c r="K552" s="10"/>
      <c r="L552" s="10">
        <f t="shared" ref="L552" si="567">(L551+L553)/2</f>
        <v>521.1939830555782</v>
      </c>
    </row>
    <row r="553" spans="1:12" x14ac:dyDescent="0.35">
      <c r="A553" s="10">
        <v>521.19500000000005</v>
      </c>
      <c r="B553" s="2" t="s">
        <v>14</v>
      </c>
      <c r="C553" t="s">
        <v>160</v>
      </c>
      <c r="D553" t="s">
        <v>11</v>
      </c>
      <c r="E553" t="s">
        <v>24</v>
      </c>
      <c r="F553" s="10">
        <v>19.308299999999999</v>
      </c>
      <c r="G553" s="10">
        <v>-0.31619999999999998</v>
      </c>
      <c r="H553" s="10">
        <v>520.6431</v>
      </c>
      <c r="I553" s="10">
        <v>0</v>
      </c>
      <c r="K553" s="10">
        <f t="shared" ref="K553" si="568">SQRT((F553-F551)^2+(H553-H551)^2)</f>
        <v>0</v>
      </c>
      <c r="L553" s="10">
        <f t="shared" ref="L553" si="569">L551+K553</f>
        <v>521.1939830555782</v>
      </c>
    </row>
    <row r="554" spans="1:12" x14ac:dyDescent="0.35">
      <c r="A554" s="10"/>
      <c r="B554" s="2" t="s">
        <v>15</v>
      </c>
      <c r="C554" t="s">
        <v>15</v>
      </c>
      <c r="D554" t="s">
        <v>15</v>
      </c>
      <c r="E554" t="s">
        <v>15</v>
      </c>
      <c r="F554" s="10"/>
      <c r="G554" s="10"/>
      <c r="H554" s="10"/>
      <c r="I554" s="10"/>
      <c r="K554" s="10"/>
      <c r="L554" s="10"/>
    </row>
    <row r="555" spans="1:12" x14ac:dyDescent="0.35">
      <c r="A555" s="10">
        <v>521.19500000000005</v>
      </c>
      <c r="B555" s="2" t="s">
        <v>9</v>
      </c>
      <c r="C555" t="s">
        <v>55</v>
      </c>
      <c r="D555" t="s">
        <v>11</v>
      </c>
      <c r="E555" t="s">
        <v>56</v>
      </c>
      <c r="F555" s="10">
        <v>19.308299999999999</v>
      </c>
      <c r="G555" s="10">
        <v>-0.31619999999999998</v>
      </c>
      <c r="H555" s="10">
        <v>520.6431</v>
      </c>
      <c r="I555" s="10">
        <v>0</v>
      </c>
      <c r="K555" s="10">
        <f t="shared" ref="K555" si="570">SQRT((F555-F553)^2+(H555-H553)^2)</f>
        <v>0</v>
      </c>
      <c r="L555" s="10">
        <f t="shared" ref="L555" si="571">L553+K555</f>
        <v>521.1939830555782</v>
      </c>
    </row>
    <row r="556" spans="1:12" x14ac:dyDescent="0.35">
      <c r="A556" s="10">
        <v>521.19500000000005</v>
      </c>
      <c r="B556" s="2" t="s">
        <v>13</v>
      </c>
      <c r="C556" t="s">
        <v>55</v>
      </c>
      <c r="D556" t="s">
        <v>11</v>
      </c>
      <c r="E556" t="s">
        <v>56</v>
      </c>
      <c r="F556" s="10">
        <v>19.308299999999999</v>
      </c>
      <c r="G556" s="10">
        <v>-0.31619999999999998</v>
      </c>
      <c r="H556" s="10">
        <v>520.6431</v>
      </c>
      <c r="I556" s="10">
        <v>0</v>
      </c>
      <c r="K556" s="10"/>
      <c r="L556" s="10">
        <f t="shared" ref="L556" si="572">(L555+L557)/2</f>
        <v>521.1939830555782</v>
      </c>
    </row>
    <row r="557" spans="1:12" x14ac:dyDescent="0.35">
      <c r="A557" s="10">
        <v>521.19500000000005</v>
      </c>
      <c r="B557" s="2" t="s">
        <v>14</v>
      </c>
      <c r="C557" t="s">
        <v>55</v>
      </c>
      <c r="D557" t="s">
        <v>11</v>
      </c>
      <c r="E557" t="s">
        <v>56</v>
      </c>
      <c r="F557" s="10">
        <v>19.308299999999999</v>
      </c>
      <c r="G557" s="10">
        <v>-0.31619999999999998</v>
      </c>
      <c r="H557" s="10">
        <v>520.6431</v>
      </c>
      <c r="I557" s="10">
        <v>0</v>
      </c>
      <c r="K557" s="10">
        <f t="shared" ref="K557" si="573">SQRT((F557-F555)^2+(H557-H555)^2)</f>
        <v>0</v>
      </c>
      <c r="L557" s="10">
        <f t="shared" ref="L557" si="574">L555+K557</f>
        <v>521.1939830555782</v>
      </c>
    </row>
    <row r="558" spans="1:12" x14ac:dyDescent="0.35">
      <c r="A558" s="10"/>
      <c r="B558" s="2" t="s">
        <v>15</v>
      </c>
      <c r="C558" t="s">
        <v>15</v>
      </c>
      <c r="D558" t="s">
        <v>15</v>
      </c>
      <c r="E558" t="s">
        <v>15</v>
      </c>
      <c r="F558" s="10"/>
      <c r="G558" s="10"/>
      <c r="H558" s="10"/>
      <c r="I558" s="10"/>
      <c r="K558" s="10"/>
      <c r="L558" s="10"/>
    </row>
    <row r="559" spans="1:12" x14ac:dyDescent="0.35">
      <c r="A559" s="10">
        <v>522.28700000000003</v>
      </c>
      <c r="B559" s="2" t="s">
        <v>9</v>
      </c>
      <c r="C559" t="s">
        <v>161</v>
      </c>
      <c r="D559" t="s">
        <v>11</v>
      </c>
      <c r="E559" t="s">
        <v>142</v>
      </c>
      <c r="F559" s="10">
        <v>19.344100000000001</v>
      </c>
      <c r="G559" s="10">
        <v>-0.31459999999999999</v>
      </c>
      <c r="H559" s="10">
        <v>521.73450000000003</v>
      </c>
      <c r="I559" s="10">
        <v>0</v>
      </c>
      <c r="K559" s="10">
        <f t="shared" ref="K559" si="575">SQRT((F559-F557)^2+(H559-H557)^2)</f>
        <v>1.0919869962595925</v>
      </c>
      <c r="L559" s="10">
        <f t="shared" ref="L559" si="576">L557+K559</f>
        <v>522.28597005183781</v>
      </c>
    </row>
    <row r="560" spans="1:12" x14ac:dyDescent="0.35">
      <c r="A560" s="10">
        <v>522.28700000000003</v>
      </c>
      <c r="B560" s="2" t="s">
        <v>13</v>
      </c>
      <c r="C560" t="s">
        <v>161</v>
      </c>
      <c r="D560" t="s">
        <v>11</v>
      </c>
      <c r="E560" t="s">
        <v>142</v>
      </c>
      <c r="F560" s="10">
        <v>19.344100000000001</v>
      </c>
      <c r="G560" s="10">
        <v>-0.31459999999999999</v>
      </c>
      <c r="H560" s="10">
        <v>521.73450000000003</v>
      </c>
      <c r="I560" s="10">
        <v>0</v>
      </c>
      <c r="K560" s="10"/>
      <c r="L560" s="10">
        <f t="shared" ref="L560" si="577">(L559+L561)/2</f>
        <v>522.28597005183781</v>
      </c>
    </row>
    <row r="561" spans="1:12" x14ac:dyDescent="0.35">
      <c r="A561" s="10">
        <v>522.28700000000003</v>
      </c>
      <c r="B561" s="2" t="s">
        <v>14</v>
      </c>
      <c r="C561" t="s">
        <v>161</v>
      </c>
      <c r="D561" t="s">
        <v>11</v>
      </c>
      <c r="E561" t="s">
        <v>142</v>
      </c>
      <c r="F561" s="10">
        <v>19.344100000000001</v>
      </c>
      <c r="G561" s="10">
        <v>-0.31459999999999999</v>
      </c>
      <c r="H561" s="10">
        <v>521.73450000000003</v>
      </c>
      <c r="I561" s="10">
        <v>0</v>
      </c>
      <c r="K561" s="10">
        <f t="shared" ref="K561" si="578">SQRT((F561-F559)^2+(H561-H559)^2)</f>
        <v>0</v>
      </c>
      <c r="L561" s="10">
        <f t="shared" ref="L561" si="579">L559+K561</f>
        <v>522.28597005183781</v>
      </c>
    </row>
    <row r="562" spans="1:12" x14ac:dyDescent="0.35">
      <c r="A562" s="10"/>
      <c r="B562" s="2" t="s">
        <v>15</v>
      </c>
      <c r="C562" t="s">
        <v>15</v>
      </c>
      <c r="D562" t="s">
        <v>15</v>
      </c>
      <c r="E562" t="s">
        <v>15</v>
      </c>
      <c r="F562" s="10"/>
      <c r="G562" s="10"/>
      <c r="H562" s="10"/>
      <c r="I562" s="10"/>
      <c r="K562" s="10"/>
      <c r="L562" s="10"/>
    </row>
    <row r="563" spans="1:12" x14ac:dyDescent="0.35">
      <c r="A563" s="10">
        <v>530.82100000000003</v>
      </c>
      <c r="B563" s="2" t="s">
        <v>9</v>
      </c>
      <c r="C563" t="s">
        <v>162</v>
      </c>
      <c r="D563" t="s">
        <v>11</v>
      </c>
      <c r="E563" t="s">
        <v>24</v>
      </c>
      <c r="F563" s="10">
        <v>19.624199999999998</v>
      </c>
      <c r="G563" s="10">
        <v>-0.30270000000000002</v>
      </c>
      <c r="H563" s="10">
        <v>530.26390000000004</v>
      </c>
      <c r="I563" s="10">
        <v>0</v>
      </c>
      <c r="K563" s="10">
        <f t="shared" ref="K563" si="580">SQRT((F563-F561)^2+(H563-H561)^2)</f>
        <v>8.5339979124675303</v>
      </c>
      <c r="L563" s="10">
        <f t="shared" ref="L563" si="581">L561+K563</f>
        <v>530.81996796430531</v>
      </c>
    </row>
    <row r="564" spans="1:12" x14ac:dyDescent="0.35">
      <c r="A564" s="10">
        <v>530.82100000000003</v>
      </c>
      <c r="B564" s="2" t="s">
        <v>13</v>
      </c>
      <c r="C564" t="s">
        <v>162</v>
      </c>
      <c r="D564" t="s">
        <v>11</v>
      </c>
      <c r="E564" t="s">
        <v>24</v>
      </c>
      <c r="F564" s="10">
        <v>19.624199999999998</v>
      </c>
      <c r="G564" s="10">
        <v>-0.30270000000000002</v>
      </c>
      <c r="H564" s="10">
        <v>530.26390000000004</v>
      </c>
      <c r="I564" s="10">
        <v>0</v>
      </c>
      <c r="K564" s="10"/>
      <c r="L564" s="10">
        <f t="shared" ref="L564" si="582">(L563+L565)/2</f>
        <v>530.81996796430531</v>
      </c>
    </row>
    <row r="565" spans="1:12" x14ac:dyDescent="0.35">
      <c r="A565" s="10">
        <v>530.82100000000003</v>
      </c>
      <c r="B565" s="2" t="s">
        <v>14</v>
      </c>
      <c r="C565" t="s">
        <v>162</v>
      </c>
      <c r="D565" t="s">
        <v>11</v>
      </c>
      <c r="E565" t="s">
        <v>24</v>
      </c>
      <c r="F565" s="10">
        <v>19.624199999999998</v>
      </c>
      <c r="G565" s="10">
        <v>-0.30270000000000002</v>
      </c>
      <c r="H565" s="10">
        <v>530.26390000000004</v>
      </c>
      <c r="I565" s="10">
        <v>0</v>
      </c>
      <c r="K565" s="10">
        <f t="shared" ref="K565" si="583">SQRT((F565-F563)^2+(H565-H563)^2)</f>
        <v>0</v>
      </c>
      <c r="L565" s="10">
        <f t="shared" ref="L565" si="584">L563+K565</f>
        <v>530.81996796430531</v>
      </c>
    </row>
    <row r="566" spans="1:12" x14ac:dyDescent="0.35">
      <c r="A566" s="10"/>
      <c r="B566" s="2" t="s">
        <v>15</v>
      </c>
      <c r="C566" t="s">
        <v>15</v>
      </c>
      <c r="D566" t="s">
        <v>15</v>
      </c>
      <c r="E566" t="s">
        <v>15</v>
      </c>
      <c r="F566" s="10"/>
      <c r="G566" s="10"/>
      <c r="H566" s="10"/>
      <c r="I566" s="10"/>
      <c r="K566" s="10"/>
      <c r="L566" s="10"/>
    </row>
    <row r="567" spans="1:12" x14ac:dyDescent="0.35">
      <c r="A567" s="10">
        <v>531.58299999999997</v>
      </c>
      <c r="B567" s="2" t="s">
        <v>9</v>
      </c>
      <c r="C567" t="s">
        <v>163</v>
      </c>
      <c r="D567" t="s">
        <v>43</v>
      </c>
      <c r="E567" t="s">
        <v>164</v>
      </c>
      <c r="F567" s="10">
        <v>19.6492</v>
      </c>
      <c r="G567" s="10">
        <v>-0.30159999999999998</v>
      </c>
      <c r="H567" s="10">
        <v>531.02549999999997</v>
      </c>
      <c r="I567" s="10">
        <v>0</v>
      </c>
      <c r="K567" s="10">
        <f t="shared" ref="K567" si="585">SQRT((F567-F565)^2+(H567-H565)^2)</f>
        <v>0.76201020990528334</v>
      </c>
      <c r="L567" s="10">
        <f t="shared" ref="L567" si="586">L565+K567</f>
        <v>531.58197817421058</v>
      </c>
    </row>
    <row r="568" spans="1:12" x14ac:dyDescent="0.35">
      <c r="A568" s="10">
        <v>533.10699999999997</v>
      </c>
      <c r="B568" s="2" t="s">
        <v>13</v>
      </c>
      <c r="C568" t="s">
        <v>163</v>
      </c>
      <c r="D568" t="s">
        <v>43</v>
      </c>
      <c r="E568" t="s">
        <v>164</v>
      </c>
      <c r="F568" s="10">
        <v>19.699200000000001</v>
      </c>
      <c r="G568" s="10">
        <v>-0.29949999999999999</v>
      </c>
      <c r="H568" s="10">
        <v>532.54864999999995</v>
      </c>
      <c r="I568" s="10">
        <v>0</v>
      </c>
      <c r="K568" s="10"/>
      <c r="L568" s="10">
        <f t="shared" ref="L568" si="587">(L567+L569)/2</f>
        <v>533.10594862093853</v>
      </c>
    </row>
    <row r="569" spans="1:12" x14ac:dyDescent="0.35">
      <c r="A569" s="10">
        <v>534.63099999999997</v>
      </c>
      <c r="B569" s="2" t="s">
        <v>14</v>
      </c>
      <c r="C569" t="s">
        <v>163</v>
      </c>
      <c r="D569" t="s">
        <v>43</v>
      </c>
      <c r="E569" t="s">
        <v>164</v>
      </c>
      <c r="F569" s="10">
        <v>19.749199999999998</v>
      </c>
      <c r="G569" s="10">
        <v>-0.2974</v>
      </c>
      <c r="H569" s="10">
        <v>534.07180000000005</v>
      </c>
      <c r="I569" s="10">
        <v>0</v>
      </c>
      <c r="K569" s="10">
        <f t="shared" ref="K569" si="588">SQRT((F569-F567)^2+(H569-H567)^2)</f>
        <v>3.0479408934558645</v>
      </c>
      <c r="L569" s="10">
        <f t="shared" ref="L569" si="589">L567+K569</f>
        <v>534.62991906766649</v>
      </c>
    </row>
    <row r="570" spans="1:12" x14ac:dyDescent="0.35">
      <c r="A570" s="10"/>
      <c r="B570" s="2" t="s">
        <v>15</v>
      </c>
      <c r="C570" t="s">
        <v>15</v>
      </c>
      <c r="D570" t="s">
        <v>15</v>
      </c>
      <c r="E570" t="s">
        <v>15</v>
      </c>
      <c r="F570" s="10"/>
      <c r="G570" s="10"/>
      <c r="H570" s="10"/>
      <c r="I570" s="10"/>
      <c r="K570" s="10"/>
      <c r="L570" s="10"/>
    </row>
    <row r="571" spans="1:12" x14ac:dyDescent="0.35">
      <c r="A571" s="10">
        <v>535.03700000000003</v>
      </c>
      <c r="B571" s="2" t="s">
        <v>9</v>
      </c>
      <c r="C571" t="s">
        <v>165</v>
      </c>
      <c r="D571" t="s">
        <v>11</v>
      </c>
      <c r="E571" t="s">
        <v>12</v>
      </c>
      <c r="F571" s="10">
        <v>19.762599999999999</v>
      </c>
      <c r="G571" s="10">
        <v>-0.29680000000000001</v>
      </c>
      <c r="H571" s="10">
        <v>534.47799999999995</v>
      </c>
      <c r="I571" s="10">
        <v>0</v>
      </c>
      <c r="K571" s="10">
        <f t="shared" ref="K571" si="590">SQRT((F571-F569)^2+(H571-H569)^2)</f>
        <v>0.40642096402611649</v>
      </c>
      <c r="L571" s="10">
        <f t="shared" ref="L571" si="591">L569+K571</f>
        <v>535.03634003169259</v>
      </c>
    </row>
    <row r="572" spans="1:12" x14ac:dyDescent="0.35">
      <c r="A572" s="10">
        <v>535.03700000000003</v>
      </c>
      <c r="B572" s="2" t="s">
        <v>13</v>
      </c>
      <c r="C572" t="s">
        <v>165</v>
      </c>
      <c r="D572" t="s">
        <v>11</v>
      </c>
      <c r="E572" t="s">
        <v>12</v>
      </c>
      <c r="F572" s="10">
        <v>19.762599999999999</v>
      </c>
      <c r="G572" s="10">
        <v>-0.29680000000000001</v>
      </c>
      <c r="H572" s="10">
        <v>534.47799999999995</v>
      </c>
      <c r="I572" s="10">
        <v>0</v>
      </c>
      <c r="K572" s="10"/>
      <c r="L572" s="10">
        <f t="shared" ref="L572" si="592">(L571+L573)/2</f>
        <v>535.03634003169259</v>
      </c>
    </row>
    <row r="573" spans="1:12" x14ac:dyDescent="0.35">
      <c r="A573" s="10">
        <v>535.03700000000003</v>
      </c>
      <c r="B573" s="2" t="s">
        <v>14</v>
      </c>
      <c r="C573" t="s">
        <v>165</v>
      </c>
      <c r="D573" t="s">
        <v>11</v>
      </c>
      <c r="E573" t="s">
        <v>12</v>
      </c>
      <c r="F573" s="10">
        <v>19.762599999999999</v>
      </c>
      <c r="G573" s="10">
        <v>-0.29680000000000001</v>
      </c>
      <c r="H573" s="10">
        <v>534.47799999999995</v>
      </c>
      <c r="I573" s="10">
        <v>0</v>
      </c>
      <c r="K573" s="10">
        <f t="shared" ref="K573" si="593">SQRT((F573-F571)^2+(H573-H571)^2)</f>
        <v>0</v>
      </c>
      <c r="L573" s="10">
        <f t="shared" ref="L573" si="594">L571+K573</f>
        <v>535.03634003169259</v>
      </c>
    </row>
    <row r="574" spans="1:12" x14ac:dyDescent="0.35">
      <c r="A574" s="10"/>
      <c r="B574" s="2" t="s">
        <v>15</v>
      </c>
      <c r="C574" t="s">
        <v>15</v>
      </c>
      <c r="D574" t="s">
        <v>15</v>
      </c>
      <c r="E574" t="s">
        <v>15</v>
      </c>
      <c r="F574" s="10"/>
      <c r="G574" s="10"/>
      <c r="H574" s="10"/>
      <c r="I574" s="10"/>
      <c r="K574" s="10"/>
      <c r="L574" s="10"/>
    </row>
    <row r="575" spans="1:12" x14ac:dyDescent="0.35">
      <c r="A575" s="10">
        <v>535.03700000000003</v>
      </c>
      <c r="B575" s="2" t="s">
        <v>9</v>
      </c>
      <c r="C575" t="s">
        <v>166</v>
      </c>
      <c r="D575" t="s">
        <v>11</v>
      </c>
      <c r="E575" t="s">
        <v>12</v>
      </c>
      <c r="F575" s="10">
        <v>19.762599999999999</v>
      </c>
      <c r="G575" s="10">
        <v>-0.29680000000000001</v>
      </c>
      <c r="H575" s="10">
        <v>534.47799999999995</v>
      </c>
      <c r="I575" s="10">
        <v>0</v>
      </c>
      <c r="K575" s="10">
        <f t="shared" ref="K575" si="595">SQRT((F575-F573)^2+(H575-H573)^2)</f>
        <v>0</v>
      </c>
      <c r="L575" s="10">
        <f t="shared" ref="L575" si="596">L573+K575</f>
        <v>535.03634003169259</v>
      </c>
    </row>
    <row r="576" spans="1:12" x14ac:dyDescent="0.35">
      <c r="A576" s="10">
        <v>535.03700000000003</v>
      </c>
      <c r="B576" s="2" t="s">
        <v>13</v>
      </c>
      <c r="C576" t="s">
        <v>166</v>
      </c>
      <c r="D576" t="s">
        <v>11</v>
      </c>
      <c r="E576" t="s">
        <v>12</v>
      </c>
      <c r="F576" s="10">
        <v>19.762599999999999</v>
      </c>
      <c r="G576" s="10">
        <v>-0.29680000000000001</v>
      </c>
      <c r="H576" s="10">
        <v>534.47799999999995</v>
      </c>
      <c r="I576" s="10">
        <v>0</v>
      </c>
      <c r="K576" s="10"/>
      <c r="L576" s="10">
        <f t="shared" ref="L576" si="597">(L575+L577)/2</f>
        <v>535.03634003169259</v>
      </c>
    </row>
    <row r="577" spans="1:12" x14ac:dyDescent="0.35">
      <c r="A577" s="10">
        <v>535.03700000000003</v>
      </c>
      <c r="B577" s="2" t="s">
        <v>14</v>
      </c>
      <c r="C577" t="s">
        <v>166</v>
      </c>
      <c r="D577" t="s">
        <v>11</v>
      </c>
      <c r="E577" t="s">
        <v>12</v>
      </c>
      <c r="F577" s="10">
        <v>19.762599999999999</v>
      </c>
      <c r="G577" s="10">
        <v>-0.29680000000000001</v>
      </c>
      <c r="H577" s="10">
        <v>534.47799999999995</v>
      </c>
      <c r="I577" s="10">
        <v>0</v>
      </c>
      <c r="K577" s="10">
        <f t="shared" ref="K577" si="598">SQRT((F577-F575)^2+(H577-H575)^2)</f>
        <v>0</v>
      </c>
      <c r="L577" s="10">
        <f t="shared" ref="L577" si="599">L575+K577</f>
        <v>535.03634003169259</v>
      </c>
    </row>
    <row r="578" spans="1:12" x14ac:dyDescent="0.35">
      <c r="A578" s="10"/>
      <c r="B578" s="2" t="s">
        <v>15</v>
      </c>
      <c r="C578" t="s">
        <v>15</v>
      </c>
      <c r="D578" t="s">
        <v>15</v>
      </c>
      <c r="E578" t="s">
        <v>15</v>
      </c>
      <c r="F578" s="10"/>
      <c r="G578" s="10"/>
      <c r="H578" s="10"/>
      <c r="I578" s="10"/>
      <c r="K578" s="10"/>
      <c r="L578" s="10"/>
    </row>
    <row r="579" spans="1:12" x14ac:dyDescent="0.35">
      <c r="A579" s="10">
        <v>536.053</v>
      </c>
      <c r="B579" s="2" t="s">
        <v>9</v>
      </c>
      <c r="C579" t="s">
        <v>167</v>
      </c>
      <c r="D579" t="s">
        <v>11</v>
      </c>
      <c r="E579" t="s">
        <v>142</v>
      </c>
      <c r="F579" s="10">
        <v>19.7959</v>
      </c>
      <c r="G579" s="10">
        <v>-0.2954</v>
      </c>
      <c r="H579" s="10">
        <v>535.49350000000004</v>
      </c>
      <c r="I579" s="10">
        <v>0</v>
      </c>
      <c r="K579" s="10">
        <f t="shared" ref="K579" si="600">SQRT((F579-F577)^2+(H579-H577)^2)</f>
        <v>1.0160458355803537</v>
      </c>
      <c r="L579" s="10">
        <f t="shared" ref="L579" si="601">L577+K579</f>
        <v>536.05238586727296</v>
      </c>
    </row>
    <row r="580" spans="1:12" x14ac:dyDescent="0.35">
      <c r="A580" s="10">
        <v>536.053</v>
      </c>
      <c r="B580" s="2" t="s">
        <v>13</v>
      </c>
      <c r="C580" t="s">
        <v>167</v>
      </c>
      <c r="D580" t="s">
        <v>11</v>
      </c>
      <c r="E580" t="s">
        <v>142</v>
      </c>
      <c r="F580" s="10">
        <v>19.7959</v>
      </c>
      <c r="G580" s="10">
        <v>-0.2954</v>
      </c>
      <c r="H580" s="10">
        <v>535.49350000000004</v>
      </c>
      <c r="I580" s="10">
        <v>0</v>
      </c>
      <c r="K580" s="10"/>
      <c r="L580" s="10">
        <f t="shared" ref="L580" si="602">(L579+L581)/2</f>
        <v>536.05238586727296</v>
      </c>
    </row>
    <row r="581" spans="1:12" x14ac:dyDescent="0.35">
      <c r="A581" s="10">
        <v>536.053</v>
      </c>
      <c r="B581" s="2" t="s">
        <v>14</v>
      </c>
      <c r="C581" t="s">
        <v>167</v>
      </c>
      <c r="D581" t="s">
        <v>11</v>
      </c>
      <c r="E581" t="s">
        <v>142</v>
      </c>
      <c r="F581" s="10">
        <v>19.7959</v>
      </c>
      <c r="G581" s="10">
        <v>-0.2954</v>
      </c>
      <c r="H581" s="10">
        <v>535.49350000000004</v>
      </c>
      <c r="I581" s="10">
        <v>0</v>
      </c>
      <c r="K581" s="10">
        <f t="shared" ref="K581" si="603">SQRT((F581-F579)^2+(H581-H579)^2)</f>
        <v>0</v>
      </c>
      <c r="L581" s="10">
        <f t="shared" ref="L581" si="604">L579+K581</f>
        <v>536.05238586727296</v>
      </c>
    </row>
    <row r="582" spans="1:12" x14ac:dyDescent="0.35">
      <c r="A582" s="10"/>
      <c r="B582" s="2" t="s">
        <v>15</v>
      </c>
      <c r="C582" t="s">
        <v>15</v>
      </c>
      <c r="D582" t="s">
        <v>15</v>
      </c>
      <c r="E582" t="s">
        <v>15</v>
      </c>
      <c r="F582" s="10"/>
      <c r="G582" s="10"/>
      <c r="H582" s="10"/>
      <c r="I582" s="10"/>
      <c r="K582" s="10"/>
      <c r="L582" s="10"/>
    </row>
    <row r="583" spans="1:12" x14ac:dyDescent="0.35">
      <c r="A583" s="10">
        <v>547.18299999999999</v>
      </c>
      <c r="B583" s="2" t="s">
        <v>9</v>
      </c>
      <c r="C583" t="s">
        <v>168</v>
      </c>
      <c r="D583" t="s">
        <v>11</v>
      </c>
      <c r="E583" t="s">
        <v>24</v>
      </c>
      <c r="F583" s="10">
        <v>20.161200000000001</v>
      </c>
      <c r="G583" s="10">
        <v>-0.27979999999999999</v>
      </c>
      <c r="H583" s="10">
        <v>546.61749999999995</v>
      </c>
      <c r="I583" s="10">
        <v>0</v>
      </c>
      <c r="K583" s="10">
        <f t="shared" ref="K583" si="605">SQRT((F583-F581)^2+(H583-H581)^2)</f>
        <v>11.129996410152071</v>
      </c>
      <c r="L583" s="10">
        <f t="shared" ref="L583" si="606">L581+K583</f>
        <v>547.18238227742506</v>
      </c>
    </row>
    <row r="584" spans="1:12" x14ac:dyDescent="0.35">
      <c r="A584" s="10">
        <v>547.18299999999999</v>
      </c>
      <c r="B584" s="2" t="s">
        <v>13</v>
      </c>
      <c r="C584" t="s">
        <v>168</v>
      </c>
      <c r="D584" t="s">
        <v>11</v>
      </c>
      <c r="E584" t="s">
        <v>24</v>
      </c>
      <c r="F584" s="10">
        <v>20.161200000000001</v>
      </c>
      <c r="G584" s="10">
        <v>-0.27979999999999999</v>
      </c>
      <c r="H584" s="10">
        <v>546.61749999999995</v>
      </c>
      <c r="I584" s="10">
        <v>0</v>
      </c>
      <c r="K584" s="10"/>
      <c r="L584" s="10">
        <f t="shared" ref="L584" si="607">(L583+L585)/2</f>
        <v>547.18238227742506</v>
      </c>
    </row>
    <row r="585" spans="1:12" x14ac:dyDescent="0.35">
      <c r="A585" s="10">
        <v>547.18299999999999</v>
      </c>
      <c r="B585" s="2" t="s">
        <v>14</v>
      </c>
      <c r="C585" t="s">
        <v>168</v>
      </c>
      <c r="D585" t="s">
        <v>11</v>
      </c>
      <c r="E585" t="s">
        <v>24</v>
      </c>
      <c r="F585" s="10">
        <v>20.161200000000001</v>
      </c>
      <c r="G585" s="10">
        <v>-0.27979999999999999</v>
      </c>
      <c r="H585" s="10">
        <v>546.61749999999995</v>
      </c>
      <c r="I585" s="10">
        <v>0</v>
      </c>
      <c r="K585" s="10">
        <f t="shared" ref="K585" si="608">SQRT((F585-F583)^2+(H585-H583)^2)</f>
        <v>0</v>
      </c>
      <c r="L585" s="10">
        <f t="shared" ref="L585" si="609">L583+K585</f>
        <v>547.18238227742506</v>
      </c>
    </row>
    <row r="586" spans="1:12" x14ac:dyDescent="0.35">
      <c r="A586" s="10"/>
      <c r="B586" s="2" t="s">
        <v>15</v>
      </c>
      <c r="C586" t="s">
        <v>15</v>
      </c>
      <c r="D586" t="s">
        <v>15</v>
      </c>
      <c r="E586" t="s">
        <v>15</v>
      </c>
      <c r="F586" s="10"/>
      <c r="G586" s="10"/>
      <c r="H586" s="10"/>
      <c r="I586" s="10"/>
      <c r="K586" s="10"/>
      <c r="L586" s="10"/>
    </row>
    <row r="587" spans="1:12" x14ac:dyDescent="0.35">
      <c r="A587" s="10">
        <v>559.37300000000005</v>
      </c>
      <c r="B587" s="2" t="s">
        <v>9</v>
      </c>
      <c r="C587" t="s">
        <v>169</v>
      </c>
      <c r="D587" t="s">
        <v>11</v>
      </c>
      <c r="E587" t="s">
        <v>12</v>
      </c>
      <c r="F587" s="10">
        <v>20.561199999999999</v>
      </c>
      <c r="G587" s="10">
        <v>-0.26279999999999998</v>
      </c>
      <c r="H587" s="10">
        <v>558.80089999999996</v>
      </c>
      <c r="I587" s="10">
        <v>0</v>
      </c>
      <c r="K587" s="10">
        <f t="shared" ref="K587" si="610">SQRT((F587-F585)^2+(H587-H585)^2)</f>
        <v>12.189964543016528</v>
      </c>
      <c r="L587" s="10">
        <f t="shared" ref="L587" si="611">L585+K587</f>
        <v>559.37234682044163</v>
      </c>
    </row>
    <row r="588" spans="1:12" x14ac:dyDescent="0.35">
      <c r="A588" s="10">
        <v>559.37300000000005</v>
      </c>
      <c r="B588" s="2" t="s">
        <v>13</v>
      </c>
      <c r="C588" t="s">
        <v>169</v>
      </c>
      <c r="D588" t="s">
        <v>11</v>
      </c>
      <c r="E588" t="s">
        <v>12</v>
      </c>
      <c r="F588" s="10">
        <v>20.561199999999999</v>
      </c>
      <c r="G588" s="10">
        <v>-0.26279999999999998</v>
      </c>
      <c r="H588" s="10">
        <v>558.80089999999996</v>
      </c>
      <c r="I588" s="10">
        <v>0</v>
      </c>
      <c r="K588" s="10"/>
      <c r="L588" s="10">
        <f t="shared" ref="L588" si="612">(L587+L589)/2</f>
        <v>559.37234682044163</v>
      </c>
    </row>
    <row r="589" spans="1:12" x14ac:dyDescent="0.35">
      <c r="A589" s="10">
        <v>559.37300000000005</v>
      </c>
      <c r="B589" s="2" t="s">
        <v>14</v>
      </c>
      <c r="C589" t="s">
        <v>169</v>
      </c>
      <c r="D589" t="s">
        <v>11</v>
      </c>
      <c r="E589" t="s">
        <v>12</v>
      </c>
      <c r="F589" s="10">
        <v>20.561199999999999</v>
      </c>
      <c r="G589" s="10">
        <v>-0.26279999999999998</v>
      </c>
      <c r="H589" s="10">
        <v>558.80089999999996</v>
      </c>
      <c r="I589" s="10">
        <v>0</v>
      </c>
      <c r="K589" s="10">
        <f t="shared" ref="K589" si="613">SQRT((F589-F587)^2+(H589-H587)^2)</f>
        <v>0</v>
      </c>
      <c r="L589" s="10">
        <f t="shared" ref="L589" si="614">L587+K589</f>
        <v>559.37234682044163</v>
      </c>
    </row>
    <row r="590" spans="1:12" x14ac:dyDescent="0.35">
      <c r="K590" s="10"/>
      <c r="L59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workbookViewId="0">
      <selection activeCell="D16" sqref="D16"/>
    </sheetView>
  </sheetViews>
  <sheetFormatPr defaultRowHeight="14.5" x14ac:dyDescent="0.35"/>
  <cols>
    <col min="1" max="1" width="10.54296875" bestFit="1" customWidth="1"/>
    <col min="2" max="2" width="9" bestFit="1" customWidth="1"/>
    <col min="3" max="3" width="7.453125" bestFit="1" customWidth="1"/>
    <col min="4" max="4" width="7" bestFit="1" customWidth="1"/>
    <col min="5" max="5" width="10.1796875" bestFit="1" customWidth="1"/>
    <col min="6" max="6" width="8.26953125" bestFit="1" customWidth="1"/>
    <col min="8" max="8" width="11.26953125" bestFit="1" customWidth="1"/>
    <col min="9" max="9" width="13.7265625" bestFit="1" customWidth="1"/>
    <col min="10" max="10" width="10.54296875" bestFit="1" customWidth="1"/>
    <col min="11" max="11" width="11.26953125" bestFit="1" customWidth="1"/>
    <col min="13" max="13" width="11.54296875" bestFit="1" customWidth="1"/>
  </cols>
  <sheetData>
    <row r="1" spans="1:13" x14ac:dyDescent="0.35">
      <c r="A1" s="8" t="s">
        <v>244</v>
      </c>
      <c r="B1" s="8" t="s">
        <v>255</v>
      </c>
      <c r="C1" s="8" t="s">
        <v>214</v>
      </c>
      <c r="D1" s="8" t="s">
        <v>256</v>
      </c>
      <c r="E1" s="8" t="s">
        <v>257</v>
      </c>
      <c r="F1" s="8" t="s">
        <v>258</v>
      </c>
      <c r="G1" s="8"/>
      <c r="H1" s="8" t="s">
        <v>259</v>
      </c>
      <c r="I1" s="11" t="s">
        <v>260</v>
      </c>
      <c r="J1" s="8" t="s">
        <v>261</v>
      </c>
      <c r="K1" s="8" t="s">
        <v>262</v>
      </c>
      <c r="L1" s="12"/>
      <c r="M1" s="13" t="s">
        <v>262</v>
      </c>
    </row>
    <row r="2" spans="1:13" x14ac:dyDescent="0.35">
      <c r="A2" s="9" t="s">
        <v>219</v>
      </c>
      <c r="B2" s="9" t="s">
        <v>219</v>
      </c>
      <c r="C2" s="9" t="s">
        <v>219</v>
      </c>
      <c r="D2" s="9" t="s">
        <v>252</v>
      </c>
      <c r="E2" s="9" t="s">
        <v>263</v>
      </c>
      <c r="F2" s="9" t="s">
        <v>264</v>
      </c>
      <c r="G2" s="9"/>
      <c r="H2" s="9" t="s">
        <v>265</v>
      </c>
      <c r="I2" s="9" t="s">
        <v>252</v>
      </c>
      <c r="J2" s="9" t="s">
        <v>252</v>
      </c>
      <c r="K2" s="9" t="s">
        <v>266</v>
      </c>
      <c r="L2" s="14"/>
      <c r="M2" s="9" t="s">
        <v>235</v>
      </c>
    </row>
    <row r="3" spans="1:13" x14ac:dyDescent="0.35">
      <c r="A3" t="s">
        <v>26</v>
      </c>
      <c r="B3" t="s">
        <v>27</v>
      </c>
      <c r="C3" t="s">
        <v>28</v>
      </c>
      <c r="D3" s="10">
        <v>3.048</v>
      </c>
      <c r="E3" s="3">
        <v>0</v>
      </c>
      <c r="F3" s="3">
        <v>0</v>
      </c>
      <c r="H3" s="15">
        <f>E3*Constants!$B$9/1000</f>
        <v>0</v>
      </c>
      <c r="I3" s="15">
        <f>IF(E3=0,0,D3/(2*SIN(E3/2000)))</f>
        <v>0</v>
      </c>
      <c r="J3" s="15">
        <f>I3*E3/1000</f>
        <v>0</v>
      </c>
      <c r="K3" s="15">
        <f>IF(J3=0,0,H3/J3)</f>
        <v>0</v>
      </c>
      <c r="L3" s="15"/>
      <c r="M3" s="15">
        <f>ABS(F3)*D3*Constants!$B$9</f>
        <v>0</v>
      </c>
    </row>
    <row r="4" spans="1:13" x14ac:dyDescent="0.35">
      <c r="A4" t="s">
        <v>29</v>
      </c>
      <c r="B4" t="s">
        <v>27</v>
      </c>
      <c r="C4" t="s">
        <v>28</v>
      </c>
      <c r="D4" s="10">
        <v>3.048</v>
      </c>
      <c r="E4" s="3">
        <v>0</v>
      </c>
      <c r="F4" s="3">
        <v>0</v>
      </c>
      <c r="H4" s="15">
        <f>E4*Constants!$B$9/1000</f>
        <v>0</v>
      </c>
      <c r="I4" s="15">
        <f t="shared" ref="I4:I56" si="0">IF(E4=0,0,D4/(2*SIN(E4/2000)))</f>
        <v>0</v>
      </c>
      <c r="J4" s="15">
        <f t="shared" ref="J4:J56" si="1">I4*E4/1000</f>
        <v>0</v>
      </c>
      <c r="K4" s="15">
        <f t="shared" ref="K4:K56" si="2">IF(J4=0,0,H4/J4)</f>
        <v>0</v>
      </c>
      <c r="L4" s="15"/>
      <c r="M4" s="15">
        <f>ABS(F4)*D4*Constants!$B$9</f>
        <v>0</v>
      </c>
    </row>
    <row r="5" spans="1:13" x14ac:dyDescent="0.35">
      <c r="A5" t="s">
        <v>30</v>
      </c>
      <c r="B5" t="s">
        <v>27</v>
      </c>
      <c r="C5" t="s">
        <v>28</v>
      </c>
      <c r="D5" s="10">
        <v>3.048</v>
      </c>
      <c r="E5" s="3">
        <v>0</v>
      </c>
      <c r="F5" s="3">
        <v>0</v>
      </c>
      <c r="H5" s="15">
        <f>E5*Constants!$B$9/1000</f>
        <v>0</v>
      </c>
      <c r="I5" s="15">
        <f t="shared" si="0"/>
        <v>0</v>
      </c>
      <c r="J5" s="15">
        <f t="shared" si="1"/>
        <v>0</v>
      </c>
      <c r="K5" s="15">
        <f t="shared" si="2"/>
        <v>0</v>
      </c>
      <c r="L5" s="15"/>
      <c r="M5" s="15">
        <f>ABS(F5)*D5*Constants!$B$9</f>
        <v>0</v>
      </c>
    </row>
    <row r="6" spans="1:13" x14ac:dyDescent="0.35">
      <c r="A6" t="s">
        <v>31</v>
      </c>
      <c r="B6" t="s">
        <v>27</v>
      </c>
      <c r="C6" t="s">
        <v>28</v>
      </c>
      <c r="D6" s="10">
        <v>3.048</v>
      </c>
      <c r="E6" s="3">
        <v>0</v>
      </c>
      <c r="F6" s="3">
        <v>0</v>
      </c>
      <c r="H6" s="15">
        <f>E6*Constants!$B$9/1000</f>
        <v>0</v>
      </c>
      <c r="I6" s="15">
        <f t="shared" si="0"/>
        <v>0</v>
      </c>
      <c r="J6" s="15">
        <f t="shared" si="1"/>
        <v>0</v>
      </c>
      <c r="K6" s="15">
        <f t="shared" si="2"/>
        <v>0</v>
      </c>
      <c r="L6" s="15"/>
      <c r="M6" s="15">
        <f>ABS(F6)*D6*Constants!$B$9</f>
        <v>0</v>
      </c>
    </row>
    <row r="7" spans="1:13" x14ac:dyDescent="0.35">
      <c r="A7" t="s">
        <v>32</v>
      </c>
      <c r="B7" t="s">
        <v>27</v>
      </c>
      <c r="C7" t="s">
        <v>28</v>
      </c>
      <c r="D7" s="10">
        <v>3.048</v>
      </c>
      <c r="E7" s="3">
        <v>0</v>
      </c>
      <c r="F7" s="3">
        <v>0</v>
      </c>
      <c r="H7" s="15">
        <f>E7*Constants!$B$9/1000</f>
        <v>0</v>
      </c>
      <c r="I7" s="15">
        <f t="shared" si="0"/>
        <v>0</v>
      </c>
      <c r="J7" s="15">
        <f t="shared" si="1"/>
        <v>0</v>
      </c>
      <c r="K7" s="15">
        <f t="shared" si="2"/>
        <v>0</v>
      </c>
      <c r="L7" s="15"/>
      <c r="M7" s="15">
        <f>ABS(F7)*D7*Constants!$B$9</f>
        <v>0</v>
      </c>
    </row>
    <row r="8" spans="1:13" x14ac:dyDescent="0.35">
      <c r="A8" t="s">
        <v>36</v>
      </c>
      <c r="B8" t="s">
        <v>27</v>
      </c>
      <c r="C8" t="s">
        <v>28</v>
      </c>
      <c r="D8" s="10">
        <v>3.048</v>
      </c>
      <c r="E8" s="3">
        <v>0</v>
      </c>
      <c r="F8" s="3">
        <v>0</v>
      </c>
      <c r="H8" s="15">
        <f>E8*Constants!$B$9/1000</f>
        <v>0</v>
      </c>
      <c r="I8" s="15">
        <f t="shared" si="0"/>
        <v>0</v>
      </c>
      <c r="J8" s="15">
        <f t="shared" si="1"/>
        <v>0</v>
      </c>
      <c r="K8" s="15">
        <f t="shared" si="2"/>
        <v>0</v>
      </c>
      <c r="L8" s="15"/>
      <c r="M8" s="15">
        <f>ABS(F8)*D8*Constants!$B$9</f>
        <v>0</v>
      </c>
    </row>
    <row r="9" spans="1:13" x14ac:dyDescent="0.35">
      <c r="A9" t="s">
        <v>38</v>
      </c>
      <c r="B9" t="s">
        <v>27</v>
      </c>
      <c r="C9" t="s">
        <v>28</v>
      </c>
      <c r="D9" s="10">
        <v>3.048</v>
      </c>
      <c r="E9" s="3">
        <v>0</v>
      </c>
      <c r="F9" s="3">
        <v>0</v>
      </c>
      <c r="H9" s="15">
        <f>E9*Constants!$B$9/1000</f>
        <v>0</v>
      </c>
      <c r="I9" s="15">
        <f t="shared" si="0"/>
        <v>0</v>
      </c>
      <c r="J9" s="15">
        <f t="shared" si="1"/>
        <v>0</v>
      </c>
      <c r="K9" s="15">
        <f t="shared" si="2"/>
        <v>0</v>
      </c>
      <c r="L9" s="15"/>
      <c r="M9" s="15">
        <f>ABS(F9)*D9*Constants!$B$9</f>
        <v>0</v>
      </c>
    </row>
    <row r="10" spans="1:13" x14ac:dyDescent="0.35">
      <c r="A10" t="s">
        <v>46</v>
      </c>
      <c r="B10" t="s">
        <v>27</v>
      </c>
      <c r="C10" t="s">
        <v>44</v>
      </c>
      <c r="D10" s="10">
        <v>3.048</v>
      </c>
      <c r="E10" s="3">
        <v>0.61667000000000005</v>
      </c>
      <c r="F10" s="3">
        <v>0</v>
      </c>
      <c r="H10" s="15">
        <f>E10*Constants!$B$9/1000</f>
        <v>0.24683876470301333</v>
      </c>
      <c r="I10" s="15">
        <f t="shared" si="0"/>
        <v>4942.6760638523037</v>
      </c>
      <c r="J10" s="15">
        <f t="shared" si="1"/>
        <v>3.0480000482958003</v>
      </c>
      <c r="K10" s="15">
        <f t="shared" si="2"/>
        <v>8.0983845404144911E-2</v>
      </c>
      <c r="L10" s="15"/>
      <c r="M10" s="15">
        <f>ABS(F10)*D10*Constants!$B$9</f>
        <v>0</v>
      </c>
    </row>
    <row r="11" spans="1:13" x14ac:dyDescent="0.35">
      <c r="A11" t="s">
        <v>47</v>
      </c>
      <c r="B11" t="s">
        <v>27</v>
      </c>
      <c r="C11" t="s">
        <v>44</v>
      </c>
      <c r="D11" s="10">
        <v>3.048</v>
      </c>
      <c r="E11" s="3">
        <v>0.61667000000000005</v>
      </c>
      <c r="F11" s="3">
        <v>0</v>
      </c>
      <c r="H11" s="15">
        <f>E11*Constants!$B$9/1000</f>
        <v>0.24683876470301333</v>
      </c>
      <c r="I11" s="15">
        <f t="shared" si="0"/>
        <v>4942.6760638523037</v>
      </c>
      <c r="J11" s="15">
        <f t="shared" si="1"/>
        <v>3.0480000482958003</v>
      </c>
      <c r="K11" s="15">
        <f t="shared" si="2"/>
        <v>8.0983845404144911E-2</v>
      </c>
      <c r="L11" s="15"/>
      <c r="M11" s="15">
        <f>ABS(F11)*D11*Constants!$B$9</f>
        <v>0</v>
      </c>
    </row>
    <row r="12" spans="1:13" x14ac:dyDescent="0.35">
      <c r="A12" t="s">
        <v>48</v>
      </c>
      <c r="B12" t="s">
        <v>27</v>
      </c>
      <c r="C12" t="s">
        <v>44</v>
      </c>
      <c r="D12" s="10">
        <v>3.048</v>
      </c>
      <c r="E12" s="3">
        <v>0.61667000000000005</v>
      </c>
      <c r="F12" s="3">
        <v>0</v>
      </c>
      <c r="H12" s="15">
        <f>E12*Constants!$B$9/1000</f>
        <v>0.24683876470301333</v>
      </c>
      <c r="I12" s="15">
        <f t="shared" si="0"/>
        <v>4942.6760638523037</v>
      </c>
      <c r="J12" s="15">
        <f t="shared" si="1"/>
        <v>3.0480000482958003</v>
      </c>
      <c r="K12" s="15">
        <f t="shared" si="2"/>
        <v>8.0983845404144911E-2</v>
      </c>
      <c r="L12" s="15"/>
      <c r="M12" s="15">
        <f>ABS(F12)*D12*Constants!$B$9</f>
        <v>0</v>
      </c>
    </row>
    <row r="13" spans="1:13" x14ac:dyDescent="0.35">
      <c r="A13" t="s">
        <v>49</v>
      </c>
      <c r="B13" t="s">
        <v>27</v>
      </c>
      <c r="C13" t="s">
        <v>44</v>
      </c>
      <c r="D13" s="10">
        <v>3.048</v>
      </c>
      <c r="E13" s="3">
        <v>0.61667000000000005</v>
      </c>
      <c r="F13" s="3">
        <v>0</v>
      </c>
      <c r="H13" s="15">
        <f>E13*Constants!$B$9/1000</f>
        <v>0.24683876470301333</v>
      </c>
      <c r="I13" s="15">
        <f t="shared" si="0"/>
        <v>4942.6760638523037</v>
      </c>
      <c r="J13" s="15">
        <f t="shared" si="1"/>
        <v>3.0480000482958003</v>
      </c>
      <c r="K13" s="15">
        <f t="shared" si="2"/>
        <v>8.0983845404144911E-2</v>
      </c>
      <c r="L13" s="15"/>
      <c r="M13" s="15">
        <f>ABS(F13)*D13*Constants!$B$9</f>
        <v>0</v>
      </c>
    </row>
    <row r="14" spans="1:13" x14ac:dyDescent="0.35">
      <c r="A14" t="s">
        <v>50</v>
      </c>
      <c r="B14" t="s">
        <v>27</v>
      </c>
      <c r="C14" t="s">
        <v>44</v>
      </c>
      <c r="D14" s="10">
        <v>3.048</v>
      </c>
      <c r="E14" s="3">
        <v>0.61667000000000005</v>
      </c>
      <c r="F14" s="3">
        <v>0</v>
      </c>
      <c r="H14" s="15">
        <f>E14*Constants!$B$9/1000</f>
        <v>0.24683876470301333</v>
      </c>
      <c r="I14" s="15">
        <f t="shared" si="0"/>
        <v>4942.6760638523037</v>
      </c>
      <c r="J14" s="15">
        <f t="shared" si="1"/>
        <v>3.0480000482958003</v>
      </c>
      <c r="K14" s="15">
        <f t="shared" si="2"/>
        <v>8.0983845404144911E-2</v>
      </c>
      <c r="L14" s="15"/>
      <c r="M14" s="15">
        <f>ABS(F14)*D14*Constants!$B$9</f>
        <v>0</v>
      </c>
    </row>
    <row r="15" spans="1:13" x14ac:dyDescent="0.35">
      <c r="A15" t="s">
        <v>51</v>
      </c>
      <c r="B15" t="s">
        <v>27</v>
      </c>
      <c r="C15" t="s">
        <v>44</v>
      </c>
      <c r="D15" s="10">
        <v>3.048</v>
      </c>
      <c r="E15" s="3">
        <v>0.61667000000000005</v>
      </c>
      <c r="F15" s="3">
        <v>0</v>
      </c>
      <c r="H15" s="15">
        <f>E15*Constants!$B$9/1000</f>
        <v>0.24683876470301333</v>
      </c>
      <c r="I15" s="15">
        <f t="shared" si="0"/>
        <v>4942.6760638523037</v>
      </c>
      <c r="J15" s="15">
        <f t="shared" si="1"/>
        <v>3.0480000482958003</v>
      </c>
      <c r="K15" s="15">
        <f t="shared" si="2"/>
        <v>8.0983845404144911E-2</v>
      </c>
      <c r="L15" s="15"/>
      <c r="M15" s="15">
        <f>ABS(F15)*D15*Constants!$B$9</f>
        <v>0</v>
      </c>
    </row>
    <row r="16" spans="1:13" x14ac:dyDescent="0.35">
      <c r="A16" t="s">
        <v>65</v>
      </c>
      <c r="B16" t="s">
        <v>66</v>
      </c>
      <c r="C16" t="s">
        <v>67</v>
      </c>
      <c r="D16" s="10">
        <v>3.048</v>
      </c>
      <c r="E16" s="3">
        <v>0</v>
      </c>
      <c r="F16" s="3">
        <v>0</v>
      </c>
      <c r="H16" s="15">
        <f>E16*Constants!$B$9/1000</f>
        <v>0</v>
      </c>
      <c r="I16" s="15">
        <f t="shared" si="0"/>
        <v>0</v>
      </c>
      <c r="J16" s="15">
        <f t="shared" si="1"/>
        <v>0</v>
      </c>
      <c r="K16" s="15">
        <f t="shared" si="2"/>
        <v>0</v>
      </c>
      <c r="L16" s="15"/>
      <c r="M16" s="15">
        <f>ABS(F16)*D16*Constants!$B$9</f>
        <v>0</v>
      </c>
    </row>
    <row r="17" spans="1:13" x14ac:dyDescent="0.35">
      <c r="A17" t="s">
        <v>68</v>
      </c>
      <c r="B17" t="s">
        <v>66</v>
      </c>
      <c r="C17" t="s">
        <v>67</v>
      </c>
      <c r="D17" s="10">
        <v>3.048</v>
      </c>
      <c r="E17" s="3">
        <v>0</v>
      </c>
      <c r="F17" s="3">
        <v>0</v>
      </c>
      <c r="H17" s="15">
        <f>E17*Constants!$B$9/1000</f>
        <v>0</v>
      </c>
      <c r="I17" s="15">
        <f t="shared" si="0"/>
        <v>0</v>
      </c>
      <c r="J17" s="15">
        <f t="shared" si="1"/>
        <v>0</v>
      </c>
      <c r="K17" s="15">
        <f t="shared" si="2"/>
        <v>0</v>
      </c>
      <c r="L17" s="15"/>
      <c r="M17" s="15">
        <f>ABS(F17)*D17*Constants!$B$9</f>
        <v>0</v>
      </c>
    </row>
    <row r="18" spans="1:13" x14ac:dyDescent="0.35">
      <c r="A18" t="s">
        <v>69</v>
      </c>
      <c r="B18" t="s">
        <v>27</v>
      </c>
      <c r="C18" t="s">
        <v>70</v>
      </c>
      <c r="D18" s="10">
        <v>3.048</v>
      </c>
      <c r="E18" s="3">
        <v>-7.9107200000000004</v>
      </c>
      <c r="F18" s="3">
        <v>0</v>
      </c>
      <c r="H18" s="15">
        <f>E18*Constants!$B$9/1000</f>
        <v>-3.1664785909991107</v>
      </c>
      <c r="I18" s="15">
        <f t="shared" si="0"/>
        <v>-385.30095207640431</v>
      </c>
      <c r="J18" s="15">
        <f t="shared" si="1"/>
        <v>3.0480079476098529</v>
      </c>
      <c r="K18" s="15">
        <f t="shared" si="2"/>
        <v>-1.0388682199736909</v>
      </c>
      <c r="L18" s="15"/>
      <c r="M18" s="15">
        <f>ABS(F18)*D18*Constants!$B$9</f>
        <v>0</v>
      </c>
    </row>
    <row r="19" spans="1:13" x14ac:dyDescent="0.35">
      <c r="A19" t="s">
        <v>71</v>
      </c>
      <c r="B19" t="s">
        <v>27</v>
      </c>
      <c r="C19" t="s">
        <v>70</v>
      </c>
      <c r="D19" s="10">
        <v>3.048</v>
      </c>
      <c r="E19" s="3">
        <v>-7.9107200000000004</v>
      </c>
      <c r="F19" s="3">
        <v>0</v>
      </c>
      <c r="H19" s="15">
        <f>E19*Constants!$B$9/1000</f>
        <v>-3.1664785909991107</v>
      </c>
      <c r="I19" s="15">
        <f t="shared" si="0"/>
        <v>-385.30095207640431</v>
      </c>
      <c r="J19" s="15">
        <f t="shared" si="1"/>
        <v>3.0480079476098529</v>
      </c>
      <c r="K19" s="15">
        <f t="shared" si="2"/>
        <v>-1.0388682199736909</v>
      </c>
      <c r="L19" s="15"/>
      <c r="M19" s="15">
        <f>ABS(F19)*D19*Constants!$B$9</f>
        <v>0</v>
      </c>
    </row>
    <row r="20" spans="1:13" x14ac:dyDescent="0.35">
      <c r="A20" t="s">
        <v>72</v>
      </c>
      <c r="B20" t="s">
        <v>27</v>
      </c>
      <c r="C20" t="s">
        <v>73</v>
      </c>
      <c r="D20" s="10">
        <v>3.048</v>
      </c>
      <c r="E20" s="3">
        <v>-5.0145600000000004</v>
      </c>
      <c r="F20" s="3">
        <v>0</v>
      </c>
      <c r="H20" s="15">
        <f>E20*Constants!$B$9/1000</f>
        <v>-2.0072126030602147</v>
      </c>
      <c r="I20" s="15">
        <f t="shared" si="0"/>
        <v>-607.8306358923744</v>
      </c>
      <c r="J20" s="15">
        <f t="shared" si="1"/>
        <v>3.048003193520465</v>
      </c>
      <c r="K20" s="15">
        <f t="shared" si="2"/>
        <v>-0.65853362861535258</v>
      </c>
      <c r="L20" s="15"/>
      <c r="M20" s="15">
        <f>ABS(F20)*D20*Constants!$B$9</f>
        <v>0</v>
      </c>
    </row>
    <row r="21" spans="1:13" x14ac:dyDescent="0.35">
      <c r="A21" t="s">
        <v>74</v>
      </c>
      <c r="B21" t="s">
        <v>27</v>
      </c>
      <c r="C21" t="s">
        <v>73</v>
      </c>
      <c r="D21" s="10">
        <v>3.048</v>
      </c>
      <c r="E21" s="3">
        <v>-5.0145600000000004</v>
      </c>
      <c r="F21" s="3">
        <v>0</v>
      </c>
      <c r="H21" s="15">
        <f>E21*Constants!$B$9/1000</f>
        <v>-2.0072126030602147</v>
      </c>
      <c r="I21" s="15">
        <f t="shared" si="0"/>
        <v>-607.8306358923744</v>
      </c>
      <c r="J21" s="15">
        <f t="shared" si="1"/>
        <v>3.048003193520465</v>
      </c>
      <c r="K21" s="15">
        <f t="shared" si="2"/>
        <v>-0.65853362861535258</v>
      </c>
      <c r="L21" s="15"/>
      <c r="M21" s="15">
        <f>ABS(F21)*D21*Constants!$B$9</f>
        <v>0</v>
      </c>
    </row>
    <row r="22" spans="1:13" x14ac:dyDescent="0.35">
      <c r="A22" t="s">
        <v>75</v>
      </c>
      <c r="B22" t="s">
        <v>27</v>
      </c>
      <c r="C22" t="s">
        <v>73</v>
      </c>
      <c r="D22" s="10">
        <v>3.048</v>
      </c>
      <c r="E22" s="3">
        <v>-5.0145600000000004</v>
      </c>
      <c r="F22" s="3">
        <v>0</v>
      </c>
      <c r="H22" s="15">
        <f>E22*Constants!$B$9/1000</f>
        <v>-2.0072126030602147</v>
      </c>
      <c r="I22" s="15">
        <f t="shared" si="0"/>
        <v>-607.8306358923744</v>
      </c>
      <c r="J22" s="15">
        <f t="shared" si="1"/>
        <v>3.048003193520465</v>
      </c>
      <c r="K22" s="15">
        <f t="shared" si="2"/>
        <v>-0.65853362861535258</v>
      </c>
      <c r="L22" s="15"/>
      <c r="M22" s="15">
        <f>ABS(F22)*D22*Constants!$B$9</f>
        <v>0</v>
      </c>
    </row>
    <row r="23" spans="1:13" x14ac:dyDescent="0.35">
      <c r="A23" t="s">
        <v>76</v>
      </c>
      <c r="B23" t="s">
        <v>27</v>
      </c>
      <c r="C23" t="s">
        <v>77</v>
      </c>
      <c r="D23" s="10">
        <v>0.76200000000000001</v>
      </c>
      <c r="E23" s="3">
        <v>0</v>
      </c>
      <c r="F23" s="3">
        <v>0</v>
      </c>
      <c r="H23" s="15">
        <f>E23*Constants!$B$9/1000</f>
        <v>0</v>
      </c>
      <c r="I23" s="15">
        <f t="shared" si="0"/>
        <v>0</v>
      </c>
      <c r="J23" s="15">
        <f t="shared" si="1"/>
        <v>0</v>
      </c>
      <c r="K23" s="15">
        <f t="shared" si="2"/>
        <v>0</v>
      </c>
      <c r="L23" s="15"/>
      <c r="M23" s="15">
        <f>ABS(F23)*D23*Constants!$B$9</f>
        <v>0</v>
      </c>
    </row>
    <row r="24" spans="1:13" x14ac:dyDescent="0.35">
      <c r="A24" t="s">
        <v>81</v>
      </c>
      <c r="B24" t="s">
        <v>27</v>
      </c>
      <c r="C24" t="s">
        <v>70</v>
      </c>
      <c r="D24" s="10">
        <v>3.048</v>
      </c>
      <c r="E24" s="3">
        <v>-5.7255599999999998</v>
      </c>
      <c r="F24" s="3">
        <v>0</v>
      </c>
      <c r="H24" s="15">
        <f>E24*Constants!$B$9/1000</f>
        <v>-2.2918094890832776</v>
      </c>
      <c r="I24" s="15">
        <f t="shared" si="0"/>
        <v>-532.35040123982981</v>
      </c>
      <c r="J24" s="15">
        <f t="shared" si="1"/>
        <v>3.0480041633227195</v>
      </c>
      <c r="K24" s="15">
        <f t="shared" si="2"/>
        <v>-0.7519049733137203</v>
      </c>
      <c r="L24" s="15"/>
      <c r="M24" s="15">
        <f>ABS(F24)*D24*Constants!$B$9</f>
        <v>0</v>
      </c>
    </row>
    <row r="25" spans="1:13" x14ac:dyDescent="0.35">
      <c r="A25" t="s">
        <v>82</v>
      </c>
      <c r="B25" t="s">
        <v>27</v>
      </c>
      <c r="C25" t="s">
        <v>70</v>
      </c>
      <c r="D25" s="10">
        <v>3.048</v>
      </c>
      <c r="E25" s="3">
        <v>-5.7255599999999998</v>
      </c>
      <c r="F25" s="3">
        <v>0</v>
      </c>
      <c r="H25" s="15">
        <f>E25*Constants!$B$9/1000</f>
        <v>-2.2918094890832776</v>
      </c>
      <c r="I25" s="15">
        <f t="shared" si="0"/>
        <v>-532.35040123982981</v>
      </c>
      <c r="J25" s="15">
        <f t="shared" si="1"/>
        <v>3.0480041633227195</v>
      </c>
      <c r="K25" s="15">
        <f t="shared" si="2"/>
        <v>-0.7519049733137203</v>
      </c>
      <c r="L25" s="15"/>
      <c r="M25" s="15">
        <f>ABS(F25)*D25*Constants!$B$9</f>
        <v>0</v>
      </c>
    </row>
    <row r="26" spans="1:13" x14ac:dyDescent="0.35">
      <c r="A26" t="s">
        <v>83</v>
      </c>
      <c r="B26" t="s">
        <v>27</v>
      </c>
      <c r="C26" t="s">
        <v>70</v>
      </c>
      <c r="D26" s="10">
        <v>3.048</v>
      </c>
      <c r="E26" s="3">
        <v>-5.7255599999999998</v>
      </c>
      <c r="F26" s="3">
        <v>0</v>
      </c>
      <c r="H26" s="15">
        <f>E26*Constants!$B$9/1000</f>
        <v>-2.2918094890832776</v>
      </c>
      <c r="I26" s="15">
        <f t="shared" si="0"/>
        <v>-532.35040123982981</v>
      </c>
      <c r="J26" s="15">
        <f t="shared" si="1"/>
        <v>3.0480041633227195</v>
      </c>
      <c r="K26" s="15">
        <f t="shared" si="2"/>
        <v>-0.7519049733137203</v>
      </c>
      <c r="L26" s="15"/>
      <c r="M26" s="15">
        <f>ABS(F26)*D26*Constants!$B$9</f>
        <v>0</v>
      </c>
    </row>
    <row r="27" spans="1:13" x14ac:dyDescent="0.35">
      <c r="A27" t="s">
        <v>84</v>
      </c>
      <c r="B27" t="s">
        <v>27</v>
      </c>
      <c r="C27" t="s">
        <v>70</v>
      </c>
      <c r="D27" s="10">
        <v>3.048</v>
      </c>
      <c r="E27" s="3">
        <v>-5.7255599999999998</v>
      </c>
      <c r="F27" s="3">
        <v>0</v>
      </c>
      <c r="H27" s="15">
        <f>E27*Constants!$B$9/1000</f>
        <v>-2.2918094890832776</v>
      </c>
      <c r="I27" s="15">
        <f t="shared" si="0"/>
        <v>-532.35040123982981</v>
      </c>
      <c r="J27" s="15">
        <f t="shared" si="1"/>
        <v>3.0480041633227195</v>
      </c>
      <c r="K27" s="15">
        <f t="shared" si="2"/>
        <v>-0.7519049733137203</v>
      </c>
      <c r="L27" s="15"/>
      <c r="M27" s="15">
        <f>ABS(F27)*D27*Constants!$B$9</f>
        <v>0</v>
      </c>
    </row>
    <row r="28" spans="1:13" x14ac:dyDescent="0.35">
      <c r="A28" t="s">
        <v>85</v>
      </c>
      <c r="B28" t="s">
        <v>27</v>
      </c>
      <c r="C28" t="s">
        <v>70</v>
      </c>
      <c r="D28" s="10">
        <v>3.048</v>
      </c>
      <c r="E28" s="3">
        <v>-5.7255599999999998</v>
      </c>
      <c r="F28" s="3">
        <v>0</v>
      </c>
      <c r="H28" s="15">
        <f>E28*Constants!$B$9/1000</f>
        <v>-2.2918094890832776</v>
      </c>
      <c r="I28" s="15">
        <f t="shared" si="0"/>
        <v>-532.35040123982981</v>
      </c>
      <c r="J28" s="15">
        <f t="shared" si="1"/>
        <v>3.0480041633227195</v>
      </c>
      <c r="K28" s="15">
        <f t="shared" si="2"/>
        <v>-0.7519049733137203</v>
      </c>
      <c r="L28" s="15"/>
      <c r="M28" s="15">
        <f>ABS(F28)*D28*Constants!$B$9</f>
        <v>0</v>
      </c>
    </row>
    <row r="29" spans="1:13" x14ac:dyDescent="0.35">
      <c r="A29" t="s">
        <v>94</v>
      </c>
      <c r="B29" t="s">
        <v>66</v>
      </c>
      <c r="C29" t="s">
        <v>95</v>
      </c>
      <c r="D29" s="10">
        <v>3.048</v>
      </c>
      <c r="E29" s="3">
        <v>0</v>
      </c>
      <c r="F29" s="3">
        <v>0</v>
      </c>
      <c r="H29" s="15">
        <f>E29*Constants!$B$9/1000</f>
        <v>0</v>
      </c>
      <c r="I29" s="15">
        <f t="shared" si="0"/>
        <v>0</v>
      </c>
      <c r="J29" s="15">
        <f t="shared" si="1"/>
        <v>0</v>
      </c>
      <c r="K29" s="15">
        <f t="shared" si="2"/>
        <v>0</v>
      </c>
      <c r="L29" s="15"/>
      <c r="M29" s="15">
        <f>ABS(F29)*D29*Constants!$B$9</f>
        <v>0</v>
      </c>
    </row>
    <row r="30" spans="1:13" x14ac:dyDescent="0.35">
      <c r="A30" t="s">
        <v>97</v>
      </c>
      <c r="B30" t="s">
        <v>66</v>
      </c>
      <c r="C30" t="s">
        <v>95</v>
      </c>
      <c r="D30" s="10">
        <v>3.048</v>
      </c>
      <c r="E30" s="3">
        <v>0</v>
      </c>
      <c r="F30" s="3">
        <v>0</v>
      </c>
      <c r="H30" s="15">
        <f>E30*Constants!$B$9/1000</f>
        <v>0</v>
      </c>
      <c r="I30" s="15">
        <f t="shared" si="0"/>
        <v>0</v>
      </c>
      <c r="J30" s="15">
        <f t="shared" si="1"/>
        <v>0</v>
      </c>
      <c r="K30" s="15">
        <f t="shared" si="2"/>
        <v>0</v>
      </c>
      <c r="L30" s="15"/>
      <c r="M30" s="15">
        <f>ABS(F30)*D30*Constants!$B$9</f>
        <v>0</v>
      </c>
    </row>
    <row r="31" spans="1:13" x14ac:dyDescent="0.35">
      <c r="A31" t="s">
        <v>99</v>
      </c>
      <c r="B31" t="s">
        <v>100</v>
      </c>
      <c r="C31" t="s">
        <v>101</v>
      </c>
      <c r="D31" s="10">
        <v>0.76200000000000001</v>
      </c>
      <c r="E31" s="3">
        <v>0</v>
      </c>
      <c r="F31" s="3">
        <v>0</v>
      </c>
      <c r="H31" s="15">
        <f>E31*Constants!$B$9/1000</f>
        <v>0</v>
      </c>
      <c r="I31" s="15">
        <f t="shared" si="0"/>
        <v>0</v>
      </c>
      <c r="J31" s="15">
        <f t="shared" si="1"/>
        <v>0</v>
      </c>
      <c r="K31" s="15">
        <f t="shared" si="2"/>
        <v>0</v>
      </c>
      <c r="L31" s="15"/>
      <c r="M31" s="15">
        <f>ABS(F31)*D31*Constants!$B$9</f>
        <v>0</v>
      </c>
    </row>
    <row r="32" spans="1:13" x14ac:dyDescent="0.35">
      <c r="A32" t="s">
        <v>113</v>
      </c>
      <c r="B32" t="s">
        <v>66</v>
      </c>
      <c r="C32" t="s">
        <v>95</v>
      </c>
      <c r="D32" s="10">
        <v>3.048</v>
      </c>
      <c r="E32" s="3">
        <v>0</v>
      </c>
      <c r="F32" s="3">
        <v>0</v>
      </c>
      <c r="H32" s="15">
        <f>E32*Constants!$B$9/1000</f>
        <v>0</v>
      </c>
      <c r="I32" s="15">
        <f t="shared" si="0"/>
        <v>0</v>
      </c>
      <c r="J32" s="15">
        <f t="shared" si="1"/>
        <v>0</v>
      </c>
      <c r="K32" s="15">
        <f t="shared" si="2"/>
        <v>0</v>
      </c>
      <c r="L32" s="15"/>
      <c r="M32" s="15">
        <f>ABS(F32)*D32*Constants!$B$9</f>
        <v>0</v>
      </c>
    </row>
    <row r="33" spans="1:13" x14ac:dyDescent="0.35">
      <c r="A33" t="s">
        <v>114</v>
      </c>
      <c r="B33" t="s">
        <v>66</v>
      </c>
      <c r="C33" t="s">
        <v>95</v>
      </c>
      <c r="D33" s="10">
        <v>3.048</v>
      </c>
      <c r="E33" s="3">
        <v>0</v>
      </c>
      <c r="F33" s="3">
        <v>0</v>
      </c>
      <c r="H33" s="15">
        <f>E33*Constants!$B$9/1000</f>
        <v>0</v>
      </c>
      <c r="I33" s="15">
        <f t="shared" si="0"/>
        <v>0</v>
      </c>
      <c r="J33" s="15">
        <f t="shared" si="1"/>
        <v>0</v>
      </c>
      <c r="K33" s="15">
        <f t="shared" si="2"/>
        <v>0</v>
      </c>
      <c r="L33" s="15"/>
      <c r="M33" s="15">
        <f>ABS(F33)*D33*Constants!$B$9</f>
        <v>0</v>
      </c>
    </row>
    <row r="34" spans="1:13" x14ac:dyDescent="0.35">
      <c r="A34" t="s">
        <v>267</v>
      </c>
      <c r="B34" t="s">
        <v>27</v>
      </c>
      <c r="C34" t="s">
        <v>70</v>
      </c>
      <c r="D34" s="10">
        <v>3.048</v>
      </c>
      <c r="E34" s="3">
        <v>-6.34</v>
      </c>
      <c r="F34" s="3">
        <v>0</v>
      </c>
      <c r="H34" s="15">
        <f>E34*Constants!$B$9/1000</f>
        <v>-2.5377556362675411</v>
      </c>
      <c r="I34" s="15">
        <f t="shared" si="0"/>
        <v>-480.75790297274204</v>
      </c>
      <c r="J34" s="15">
        <f t="shared" si="1"/>
        <v>3.0480051048471846</v>
      </c>
      <c r="K34" s="15">
        <f t="shared" si="2"/>
        <v>-0.83259559907947545</v>
      </c>
      <c r="L34" s="15"/>
      <c r="M34" s="15">
        <f>ABS(F34)*D34*Constants!$B$9</f>
        <v>0</v>
      </c>
    </row>
    <row r="35" spans="1:13" x14ac:dyDescent="0.35">
      <c r="A35" t="s">
        <v>116</v>
      </c>
      <c r="B35" t="s">
        <v>27</v>
      </c>
      <c r="C35" t="s">
        <v>117</v>
      </c>
      <c r="D35" s="10">
        <v>3.048</v>
      </c>
      <c r="E35" s="3">
        <v>1.60151</v>
      </c>
      <c r="F35" s="3">
        <v>0</v>
      </c>
      <c r="H35" s="15">
        <f>E35*Constants!$B$9/1000</f>
        <v>0.64104748092095098</v>
      </c>
      <c r="I35" s="15">
        <f t="shared" si="0"/>
        <v>1903.2040547570593</v>
      </c>
      <c r="J35" s="15">
        <f t="shared" si="1"/>
        <v>3.0480003257339781</v>
      </c>
      <c r="K35" s="15">
        <f t="shared" si="2"/>
        <v>0.21031739252409123</v>
      </c>
      <c r="L35" s="15"/>
      <c r="M35" s="15">
        <f>ABS(F35)*D35*Constants!$B$9</f>
        <v>0</v>
      </c>
    </row>
    <row r="36" spans="1:13" x14ac:dyDescent="0.35">
      <c r="A36" t="s">
        <v>118</v>
      </c>
      <c r="B36" t="s">
        <v>27</v>
      </c>
      <c r="C36" t="s">
        <v>117</v>
      </c>
      <c r="D36" s="10">
        <v>3.048</v>
      </c>
      <c r="E36" s="3">
        <v>1.60151</v>
      </c>
      <c r="F36" s="3">
        <v>0</v>
      </c>
      <c r="H36" s="15">
        <f>E36*Constants!$B$9/1000</f>
        <v>0.64104748092095098</v>
      </c>
      <c r="I36" s="15">
        <f t="shared" si="0"/>
        <v>1903.2040547570593</v>
      </c>
      <c r="J36" s="15">
        <f t="shared" si="1"/>
        <v>3.0480003257339781</v>
      </c>
      <c r="K36" s="15">
        <f t="shared" si="2"/>
        <v>0.21031739252409123</v>
      </c>
      <c r="L36" s="15"/>
      <c r="M36" s="15">
        <f>ABS(F36)*D36*Constants!$B$9</f>
        <v>0</v>
      </c>
    </row>
    <row r="37" spans="1:13" x14ac:dyDescent="0.35">
      <c r="A37" t="s">
        <v>124</v>
      </c>
      <c r="B37" t="s">
        <v>66</v>
      </c>
      <c r="C37" t="s">
        <v>67</v>
      </c>
      <c r="D37" s="10">
        <v>3.048</v>
      </c>
      <c r="E37" s="3">
        <v>0</v>
      </c>
      <c r="F37" s="3">
        <v>0</v>
      </c>
      <c r="H37" s="15">
        <f>E37*Constants!$B$9/1000</f>
        <v>0</v>
      </c>
      <c r="I37" s="15">
        <f t="shared" si="0"/>
        <v>0</v>
      </c>
      <c r="J37" s="15">
        <f t="shared" si="1"/>
        <v>0</v>
      </c>
      <c r="K37" s="15">
        <f t="shared" si="2"/>
        <v>0</v>
      </c>
      <c r="L37" s="15"/>
      <c r="M37" s="15">
        <f>ABS(F37)*D37*Constants!$B$9</f>
        <v>0</v>
      </c>
    </row>
    <row r="38" spans="1:13" x14ac:dyDescent="0.35">
      <c r="A38" t="s">
        <v>125</v>
      </c>
      <c r="B38" t="s">
        <v>27</v>
      </c>
      <c r="C38" t="s">
        <v>70</v>
      </c>
      <c r="D38" s="10">
        <v>3.048</v>
      </c>
      <c r="E38" s="3">
        <v>-7.9995000000000003</v>
      </c>
      <c r="F38" s="3">
        <v>0</v>
      </c>
      <c r="H38" s="15">
        <f>E38*Constants!$B$9/1000</f>
        <v>-3.2020151754451414</v>
      </c>
      <c r="I38" s="15">
        <f t="shared" si="0"/>
        <v>-381.02482992677045</v>
      </c>
      <c r="J38" s="15">
        <f t="shared" si="1"/>
        <v>3.0480081269992003</v>
      </c>
      <c r="K38" s="15">
        <f t="shared" si="2"/>
        <v>-1.0505271121430908</v>
      </c>
      <c r="L38" s="15"/>
      <c r="M38" s="15">
        <f>ABS(F38)*D38*Constants!$B$9</f>
        <v>0</v>
      </c>
    </row>
    <row r="39" spans="1:13" x14ac:dyDescent="0.35">
      <c r="A39" t="s">
        <v>126</v>
      </c>
      <c r="B39" t="s">
        <v>66</v>
      </c>
      <c r="C39" t="s">
        <v>67</v>
      </c>
      <c r="D39" s="10">
        <v>3.048</v>
      </c>
      <c r="E39" s="3">
        <v>0</v>
      </c>
      <c r="F39" s="3">
        <v>0</v>
      </c>
      <c r="H39" s="15">
        <f>E39*Constants!$B$9/1000</f>
        <v>0</v>
      </c>
      <c r="I39" s="15">
        <f t="shared" si="0"/>
        <v>0</v>
      </c>
      <c r="J39" s="15">
        <f t="shared" si="1"/>
        <v>0</v>
      </c>
      <c r="K39" s="15">
        <f t="shared" si="2"/>
        <v>0</v>
      </c>
      <c r="L39" s="15"/>
      <c r="M39" s="15">
        <f>ABS(F39)*D39*Constants!$B$9</f>
        <v>0</v>
      </c>
    </row>
    <row r="40" spans="1:13" x14ac:dyDescent="0.35">
      <c r="A40" t="s">
        <v>127</v>
      </c>
      <c r="B40" t="s">
        <v>27</v>
      </c>
      <c r="C40" t="s">
        <v>70</v>
      </c>
      <c r="D40" s="10">
        <v>3.048</v>
      </c>
      <c r="E40" s="3">
        <v>-7.9995000000000003</v>
      </c>
      <c r="F40" s="3">
        <v>0</v>
      </c>
      <c r="H40" s="15">
        <f>E40*Constants!$B$9/1000</f>
        <v>-3.2020151754451414</v>
      </c>
      <c r="I40" s="15">
        <f t="shared" si="0"/>
        <v>-381.02482992677045</v>
      </c>
      <c r="J40" s="15">
        <f t="shared" si="1"/>
        <v>3.0480081269992003</v>
      </c>
      <c r="K40" s="15">
        <f t="shared" si="2"/>
        <v>-1.0505271121430908</v>
      </c>
      <c r="L40" s="15"/>
      <c r="M40" s="15">
        <f>ABS(F40)*D40*Constants!$B$9</f>
        <v>0</v>
      </c>
    </row>
    <row r="41" spans="1:13" x14ac:dyDescent="0.35">
      <c r="A41" t="s">
        <v>128</v>
      </c>
      <c r="B41" t="s">
        <v>66</v>
      </c>
      <c r="C41" t="s">
        <v>67</v>
      </c>
      <c r="D41" s="10">
        <v>3.048</v>
      </c>
      <c r="E41" s="3">
        <v>0</v>
      </c>
      <c r="F41" s="3">
        <v>0</v>
      </c>
      <c r="H41" s="15">
        <f>E41*Constants!$B$9/1000</f>
        <v>0</v>
      </c>
      <c r="I41" s="15">
        <f t="shared" si="0"/>
        <v>0</v>
      </c>
      <c r="J41" s="15">
        <f t="shared" si="1"/>
        <v>0</v>
      </c>
      <c r="K41" s="15">
        <f t="shared" si="2"/>
        <v>0</v>
      </c>
      <c r="L41" s="15"/>
      <c r="M41" s="15">
        <f>ABS(F41)*D41*Constants!$B$9</f>
        <v>0</v>
      </c>
    </row>
    <row r="42" spans="1:13" x14ac:dyDescent="0.35">
      <c r="A42" t="s">
        <v>129</v>
      </c>
      <c r="B42" t="s">
        <v>100</v>
      </c>
      <c r="C42" t="s">
        <v>77</v>
      </c>
      <c r="D42" s="10">
        <v>0.76200000000000001</v>
      </c>
      <c r="E42" s="3">
        <v>0</v>
      </c>
      <c r="F42" s="3">
        <v>0</v>
      </c>
      <c r="H42" s="15">
        <f>E42*Constants!$B$9/1000</f>
        <v>0</v>
      </c>
      <c r="I42" s="15">
        <f t="shared" si="0"/>
        <v>0</v>
      </c>
      <c r="J42" s="15">
        <f t="shared" si="1"/>
        <v>0</v>
      </c>
      <c r="K42" s="15">
        <f t="shared" si="2"/>
        <v>0</v>
      </c>
      <c r="L42" s="15"/>
      <c r="M42" s="15">
        <f>ABS(F42)*D42*Constants!$B$9</f>
        <v>0</v>
      </c>
    </row>
    <row r="43" spans="1:13" x14ac:dyDescent="0.35">
      <c r="A43" t="s">
        <v>135</v>
      </c>
      <c r="B43" t="s">
        <v>136</v>
      </c>
      <c r="C43" t="s">
        <v>77</v>
      </c>
      <c r="D43" s="10">
        <v>0.76200000000000001</v>
      </c>
      <c r="E43" s="3">
        <v>0</v>
      </c>
      <c r="F43" s="3">
        <v>0</v>
      </c>
      <c r="H43" s="15">
        <f>E43*Constants!$B$9/1000</f>
        <v>0</v>
      </c>
      <c r="I43" s="15">
        <f t="shared" si="0"/>
        <v>0</v>
      </c>
      <c r="J43" s="15">
        <f t="shared" si="1"/>
        <v>0</v>
      </c>
      <c r="K43" s="15">
        <f t="shared" si="2"/>
        <v>0</v>
      </c>
      <c r="L43" s="15"/>
      <c r="M43" s="15">
        <f>ABS(F43)*D43*Constants!$B$9</f>
        <v>0</v>
      </c>
    </row>
    <row r="44" spans="1:13" x14ac:dyDescent="0.35">
      <c r="A44" t="s">
        <v>137</v>
      </c>
      <c r="B44" t="s">
        <v>66</v>
      </c>
      <c r="C44" t="s">
        <v>67</v>
      </c>
      <c r="D44" s="10">
        <v>3.048</v>
      </c>
      <c r="E44" s="3">
        <v>0</v>
      </c>
      <c r="F44" s="3">
        <v>0</v>
      </c>
      <c r="H44" s="15">
        <f>E44*Constants!$B$9/1000</f>
        <v>0</v>
      </c>
      <c r="I44" s="15">
        <f t="shared" si="0"/>
        <v>0</v>
      </c>
      <c r="J44" s="15">
        <f t="shared" si="1"/>
        <v>0</v>
      </c>
      <c r="K44" s="15">
        <f t="shared" si="2"/>
        <v>0</v>
      </c>
      <c r="L44" s="15"/>
      <c r="M44" s="15">
        <f>ABS(F44)*D44*Constants!$B$9</f>
        <v>0</v>
      </c>
    </row>
    <row r="45" spans="1:13" x14ac:dyDescent="0.35">
      <c r="A45" t="s">
        <v>138</v>
      </c>
      <c r="B45" t="s">
        <v>66</v>
      </c>
      <c r="C45" t="s">
        <v>67</v>
      </c>
      <c r="D45" s="10">
        <v>3.048</v>
      </c>
      <c r="E45" s="3">
        <v>0</v>
      </c>
      <c r="F45" s="3">
        <v>0</v>
      </c>
      <c r="H45" s="15">
        <f>E45*Constants!$B$9/1000</f>
        <v>0</v>
      </c>
      <c r="I45" s="15">
        <f t="shared" si="0"/>
        <v>0</v>
      </c>
      <c r="J45" s="15">
        <f t="shared" si="1"/>
        <v>0</v>
      </c>
      <c r="K45" s="15">
        <f t="shared" si="2"/>
        <v>0</v>
      </c>
      <c r="L45" s="15"/>
      <c r="M45" s="15">
        <f>ABS(F45)*D45*Constants!$B$9</f>
        <v>0</v>
      </c>
    </row>
    <row r="46" spans="1:13" x14ac:dyDescent="0.35">
      <c r="A46" t="s">
        <v>139</v>
      </c>
      <c r="B46" t="s">
        <v>66</v>
      </c>
      <c r="C46" t="s">
        <v>67</v>
      </c>
      <c r="D46" s="10">
        <v>3.048</v>
      </c>
      <c r="E46" s="3">
        <v>0</v>
      </c>
      <c r="F46" s="3">
        <v>0</v>
      </c>
      <c r="H46" s="15">
        <f>E46*Constants!$B$9/1000</f>
        <v>0</v>
      </c>
      <c r="I46" s="15">
        <f t="shared" si="0"/>
        <v>0</v>
      </c>
      <c r="J46" s="15">
        <f t="shared" si="1"/>
        <v>0</v>
      </c>
      <c r="K46" s="15">
        <f t="shared" si="2"/>
        <v>0</v>
      </c>
      <c r="L46" s="15"/>
      <c r="M46" s="15">
        <f>ABS(F46)*D46*Constants!$B$9</f>
        <v>0</v>
      </c>
    </row>
    <row r="47" spans="1:13" x14ac:dyDescent="0.35">
      <c r="A47" t="s">
        <v>143</v>
      </c>
      <c r="B47" t="s">
        <v>100</v>
      </c>
      <c r="C47" t="s">
        <v>77</v>
      </c>
      <c r="D47" s="10">
        <v>0.76200000000000001</v>
      </c>
      <c r="E47" s="3">
        <v>0</v>
      </c>
      <c r="F47" s="3">
        <v>0</v>
      </c>
      <c r="H47" s="15">
        <f>E47*Constants!$B$9/1000</f>
        <v>0</v>
      </c>
      <c r="I47" s="15">
        <f t="shared" si="0"/>
        <v>0</v>
      </c>
      <c r="J47" s="15">
        <f t="shared" si="1"/>
        <v>0</v>
      </c>
      <c r="K47" s="15">
        <f t="shared" si="2"/>
        <v>0</v>
      </c>
      <c r="L47" s="15"/>
      <c r="M47" s="15">
        <f>ABS(F47)*D47*Constants!$B$9</f>
        <v>0</v>
      </c>
    </row>
    <row r="48" spans="1:13" x14ac:dyDescent="0.35">
      <c r="A48" t="s">
        <v>144</v>
      </c>
      <c r="B48" t="s">
        <v>27</v>
      </c>
      <c r="C48" t="s">
        <v>70</v>
      </c>
      <c r="D48" s="10">
        <v>3.048</v>
      </c>
      <c r="E48" s="3">
        <v>8.9015000000000004</v>
      </c>
      <c r="F48" s="3">
        <v>0</v>
      </c>
      <c r="H48" s="15">
        <f>E48*Constants!$B$9/1000</f>
        <v>3.563064952087621</v>
      </c>
      <c r="I48" s="15">
        <f t="shared" si="0"/>
        <v>342.41533034706987</v>
      </c>
      <c r="J48" s="15">
        <f t="shared" si="1"/>
        <v>3.0480100630844427</v>
      </c>
      <c r="K48" s="15">
        <f t="shared" si="2"/>
        <v>1.1689807049002874</v>
      </c>
      <c r="L48" s="15"/>
      <c r="M48" s="15">
        <f>ABS(F48)*D48*Constants!$B$9</f>
        <v>0</v>
      </c>
    </row>
    <row r="49" spans="1:13" x14ac:dyDescent="0.35">
      <c r="A49" t="s">
        <v>145</v>
      </c>
      <c r="B49" t="s">
        <v>27</v>
      </c>
      <c r="C49" t="s">
        <v>146</v>
      </c>
      <c r="D49" s="10">
        <v>3.048</v>
      </c>
      <c r="E49" s="3">
        <v>8.9015000000000004</v>
      </c>
      <c r="F49" s="3">
        <v>0</v>
      </c>
      <c r="H49" s="15">
        <f>E49*Constants!$B$9/1000</f>
        <v>3.563064952087621</v>
      </c>
      <c r="I49" s="15">
        <f t="shared" si="0"/>
        <v>342.41533034706987</v>
      </c>
      <c r="J49" s="15">
        <f t="shared" si="1"/>
        <v>3.0480100630844427</v>
      </c>
      <c r="K49" s="15">
        <f t="shared" si="2"/>
        <v>1.1689807049002874</v>
      </c>
      <c r="L49" s="15"/>
      <c r="M49" s="15">
        <f>ABS(F49)*D49*Constants!$B$9</f>
        <v>0</v>
      </c>
    </row>
    <row r="50" spans="1:13" x14ac:dyDescent="0.35">
      <c r="A50" t="s">
        <v>147</v>
      </c>
      <c r="B50" t="s">
        <v>27</v>
      </c>
      <c r="C50" t="s">
        <v>70</v>
      </c>
      <c r="D50" s="10">
        <v>3.048</v>
      </c>
      <c r="E50" s="3">
        <v>8.9015000000000004</v>
      </c>
      <c r="F50" s="3">
        <v>0</v>
      </c>
      <c r="H50" s="15">
        <f>E50*Constants!$B$9/1000</f>
        <v>3.563064952087621</v>
      </c>
      <c r="I50" s="15">
        <f t="shared" si="0"/>
        <v>342.41533034706987</v>
      </c>
      <c r="J50" s="15">
        <f t="shared" si="1"/>
        <v>3.0480100630844427</v>
      </c>
      <c r="K50" s="15">
        <f t="shared" si="2"/>
        <v>1.1689807049002874</v>
      </c>
      <c r="L50" s="15"/>
      <c r="M50" s="15">
        <f>ABS(F50)*D50*Constants!$B$9</f>
        <v>0</v>
      </c>
    </row>
    <row r="51" spans="1:13" x14ac:dyDescent="0.35">
      <c r="A51" t="s">
        <v>148</v>
      </c>
      <c r="B51" t="s">
        <v>27</v>
      </c>
      <c r="C51" t="s">
        <v>70</v>
      </c>
      <c r="D51" s="10">
        <v>3.048</v>
      </c>
      <c r="E51" s="3">
        <v>8.9015000000000004</v>
      </c>
      <c r="F51" s="3">
        <v>0</v>
      </c>
      <c r="H51" s="15">
        <f>E51*Constants!$B$9/1000</f>
        <v>3.563064952087621</v>
      </c>
      <c r="I51" s="15">
        <f t="shared" si="0"/>
        <v>342.41533034706987</v>
      </c>
      <c r="J51" s="15">
        <f t="shared" si="1"/>
        <v>3.0480100630844427</v>
      </c>
      <c r="K51" s="15">
        <f t="shared" si="2"/>
        <v>1.1689807049002874</v>
      </c>
      <c r="L51" s="15"/>
      <c r="M51" s="15">
        <f>ABS(F51)*D51*Constants!$B$9</f>
        <v>0</v>
      </c>
    </row>
    <row r="52" spans="1:13" x14ac:dyDescent="0.35">
      <c r="A52" t="s">
        <v>149</v>
      </c>
      <c r="B52" t="s">
        <v>27</v>
      </c>
      <c r="C52" t="s">
        <v>70</v>
      </c>
      <c r="D52" s="10">
        <v>3.048</v>
      </c>
      <c r="E52" s="3">
        <v>8.9015000000000004</v>
      </c>
      <c r="F52" s="3">
        <v>0</v>
      </c>
      <c r="H52" s="15">
        <f>E52*Constants!$B$9/1000</f>
        <v>3.563064952087621</v>
      </c>
      <c r="I52" s="15">
        <f t="shared" si="0"/>
        <v>342.41533034706987</v>
      </c>
      <c r="J52" s="15">
        <f t="shared" si="1"/>
        <v>3.0480100630844427</v>
      </c>
      <c r="K52" s="15">
        <f t="shared" si="2"/>
        <v>1.1689807049002874</v>
      </c>
      <c r="L52" s="15"/>
      <c r="M52" s="15">
        <f>ABS(F52)*D52*Constants!$B$9</f>
        <v>0</v>
      </c>
    </row>
    <row r="53" spans="1:13" x14ac:dyDescent="0.35">
      <c r="A53" t="s">
        <v>152</v>
      </c>
      <c r="B53" t="s">
        <v>66</v>
      </c>
      <c r="C53" t="s">
        <v>67</v>
      </c>
      <c r="D53" s="10">
        <v>3.048</v>
      </c>
      <c r="E53" s="3">
        <v>0</v>
      </c>
      <c r="F53" s="3">
        <v>2.8784727E-2</v>
      </c>
      <c r="H53" s="15">
        <f>E53*Constants!$B$9/1000</f>
        <v>0</v>
      </c>
      <c r="I53" s="15">
        <f t="shared" si="0"/>
        <v>0</v>
      </c>
      <c r="J53" s="15">
        <f t="shared" si="1"/>
        <v>0</v>
      </c>
      <c r="K53" s="15">
        <f t="shared" si="2"/>
        <v>0</v>
      </c>
      <c r="L53" s="15"/>
      <c r="M53" s="15">
        <f>ABS(F53)*D53*Constants!$B$9</f>
        <v>35.11863446384632</v>
      </c>
    </row>
    <row r="54" spans="1:13" x14ac:dyDescent="0.35">
      <c r="A54" t="s">
        <v>153</v>
      </c>
      <c r="B54" t="s">
        <v>66</v>
      </c>
      <c r="C54" t="s">
        <v>67</v>
      </c>
      <c r="D54" s="10">
        <v>3.048</v>
      </c>
      <c r="E54" s="3">
        <v>0</v>
      </c>
      <c r="F54" s="3">
        <v>3.0641807E-2</v>
      </c>
      <c r="H54" s="15">
        <f>E54*Constants!$B$9/1000</f>
        <v>0</v>
      </c>
      <c r="I54" s="15">
        <f t="shared" si="0"/>
        <v>0</v>
      </c>
      <c r="J54" s="15">
        <f t="shared" si="1"/>
        <v>0</v>
      </c>
      <c r="K54" s="15">
        <f t="shared" si="2"/>
        <v>0</v>
      </c>
      <c r="L54" s="15"/>
      <c r="M54" s="15">
        <f>ABS(F54)*D54*Constants!$B$9</f>
        <v>37.384353839615272</v>
      </c>
    </row>
    <row r="55" spans="1:13" x14ac:dyDescent="0.35">
      <c r="A55" t="s">
        <v>154</v>
      </c>
      <c r="B55" t="s">
        <v>100</v>
      </c>
      <c r="C55" t="s">
        <v>77</v>
      </c>
      <c r="D55" s="10">
        <v>0.76200000000000001</v>
      </c>
      <c r="E55" s="3">
        <v>0</v>
      </c>
      <c r="F55" s="3">
        <v>0</v>
      </c>
      <c r="H55" s="15">
        <f>E55*Constants!$B$9/1000</f>
        <v>0</v>
      </c>
      <c r="I55" s="15">
        <f t="shared" si="0"/>
        <v>0</v>
      </c>
      <c r="J55" s="15">
        <f t="shared" si="1"/>
        <v>0</v>
      </c>
      <c r="K55" s="15">
        <f t="shared" si="2"/>
        <v>0</v>
      </c>
      <c r="L55" s="15"/>
      <c r="M55" s="15">
        <f>ABS(F55)*D55*Constants!$B$9</f>
        <v>0</v>
      </c>
    </row>
    <row r="56" spans="1:13" x14ac:dyDescent="0.35">
      <c r="A56" t="s">
        <v>155</v>
      </c>
      <c r="B56" t="s">
        <v>136</v>
      </c>
      <c r="C56" t="s">
        <v>77</v>
      </c>
      <c r="D56" s="10">
        <v>0.76200000000000001</v>
      </c>
      <c r="E56" s="3">
        <v>0</v>
      </c>
      <c r="F56" s="3">
        <v>0</v>
      </c>
      <c r="H56" s="15">
        <f>E56*Constants!$B$9/1000</f>
        <v>0</v>
      </c>
      <c r="I56" s="15">
        <f t="shared" si="0"/>
        <v>0</v>
      </c>
      <c r="J56" s="15">
        <f t="shared" si="1"/>
        <v>0</v>
      </c>
      <c r="K56" s="15">
        <f t="shared" si="2"/>
        <v>0</v>
      </c>
      <c r="L56" s="15"/>
      <c r="M56" s="15">
        <f>ABS(F56)*D56*Constants!$B$9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topLeftCell="A28" workbookViewId="0">
      <selection activeCell="F3" sqref="F3"/>
    </sheetView>
  </sheetViews>
  <sheetFormatPr defaultRowHeight="14.5" x14ac:dyDescent="0.35"/>
  <cols>
    <col min="1" max="1" width="10.54296875" bestFit="1" customWidth="1"/>
    <col min="2" max="2" width="8.453125" bestFit="1" customWidth="1"/>
    <col min="3" max="3" width="7.453125" bestFit="1" customWidth="1"/>
    <col min="5" max="5" width="9.26953125" bestFit="1" customWidth="1"/>
    <col min="6" max="6" width="9.54296875" bestFit="1" customWidth="1"/>
    <col min="8" max="8" width="12" bestFit="1" customWidth="1"/>
    <col min="10" max="10" width="8.54296875" bestFit="1" customWidth="1"/>
  </cols>
  <sheetData>
    <row r="1" spans="1:10" x14ac:dyDescent="0.35">
      <c r="A1" s="8" t="s">
        <v>244</v>
      </c>
      <c r="B1" s="8" t="s">
        <v>245</v>
      </c>
      <c r="C1" s="8" t="s">
        <v>214</v>
      </c>
      <c r="D1" s="8"/>
      <c r="E1" s="8" t="s">
        <v>259</v>
      </c>
      <c r="F1" s="8" t="s">
        <v>262</v>
      </c>
      <c r="G1" s="8"/>
      <c r="H1" s="8" t="s">
        <v>215</v>
      </c>
      <c r="I1" s="8"/>
      <c r="J1" s="8" t="s">
        <v>268</v>
      </c>
    </row>
    <row r="2" spans="1:10" x14ac:dyDescent="0.35">
      <c r="A2" s="9" t="s">
        <v>219</v>
      </c>
      <c r="B2" s="9" t="s">
        <v>219</v>
      </c>
      <c r="C2" s="9" t="s">
        <v>219</v>
      </c>
      <c r="D2" s="9"/>
      <c r="E2" s="9" t="s">
        <v>265</v>
      </c>
      <c r="F2" s="9" t="s">
        <v>266</v>
      </c>
      <c r="G2" s="9"/>
      <c r="H2" s="9" t="s">
        <v>220</v>
      </c>
      <c r="I2" s="9"/>
      <c r="J2" s="9" t="s">
        <v>269</v>
      </c>
    </row>
    <row r="3" spans="1:10" x14ac:dyDescent="0.35">
      <c r="A3" t="s">
        <v>26</v>
      </c>
      <c r="B3" t="s">
        <v>27</v>
      </c>
      <c r="C3" t="s">
        <v>28</v>
      </c>
      <c r="E3" s="1">
        <f>'Magnets - Fields'!H3</f>
        <v>0</v>
      </c>
      <c r="F3" s="1">
        <f>'Magnets - Fields'!M3</f>
        <v>0</v>
      </c>
      <c r="H3">
        <f>Constants!$J$4</f>
        <v>4.4975932291737861E-3</v>
      </c>
      <c r="J3" s="5">
        <f>IF(B3="QUAD",(F3/H3),(E3/H3))</f>
        <v>0</v>
      </c>
    </row>
    <row r="4" spans="1:10" x14ac:dyDescent="0.35">
      <c r="A4" t="s">
        <v>29</v>
      </c>
      <c r="B4" t="s">
        <v>27</v>
      </c>
      <c r="C4" t="s">
        <v>28</v>
      </c>
      <c r="E4" s="1">
        <f>'Magnets - Fields'!H4</f>
        <v>0</v>
      </c>
      <c r="F4" s="1">
        <f>'Magnets - Fields'!M4</f>
        <v>0</v>
      </c>
      <c r="H4">
        <f>Constants!$J$4</f>
        <v>4.4975932291737861E-3</v>
      </c>
      <c r="J4" s="5">
        <f t="shared" ref="J4:J56" si="0">IF(B4="QUAD",(F4/H4),(E4/H4))</f>
        <v>0</v>
      </c>
    </row>
    <row r="5" spans="1:10" x14ac:dyDescent="0.35">
      <c r="A5" t="s">
        <v>30</v>
      </c>
      <c r="B5" t="s">
        <v>27</v>
      </c>
      <c r="C5" t="s">
        <v>28</v>
      </c>
      <c r="E5" s="1">
        <f>'Magnets - Fields'!H5</f>
        <v>0</v>
      </c>
      <c r="F5" s="1">
        <f>'Magnets - Fields'!M5</f>
        <v>0</v>
      </c>
      <c r="H5">
        <f>Constants!$J$4</f>
        <v>4.4975932291737861E-3</v>
      </c>
      <c r="J5" s="5">
        <f t="shared" si="0"/>
        <v>0</v>
      </c>
    </row>
    <row r="6" spans="1:10" x14ac:dyDescent="0.35">
      <c r="A6" t="s">
        <v>31</v>
      </c>
      <c r="B6" t="s">
        <v>27</v>
      </c>
      <c r="C6" t="s">
        <v>28</v>
      </c>
      <c r="E6" s="1">
        <f>'Magnets - Fields'!H6</f>
        <v>0</v>
      </c>
      <c r="F6" s="1">
        <f>'Magnets - Fields'!M6</f>
        <v>0</v>
      </c>
      <c r="H6">
        <f>Constants!$J$4</f>
        <v>4.4975932291737861E-3</v>
      </c>
      <c r="J6" s="5">
        <f t="shared" si="0"/>
        <v>0</v>
      </c>
    </row>
    <row r="7" spans="1:10" x14ac:dyDescent="0.35">
      <c r="A7" t="s">
        <v>32</v>
      </c>
      <c r="B7" t="s">
        <v>27</v>
      </c>
      <c r="C7" t="s">
        <v>28</v>
      </c>
      <c r="E7" s="1">
        <f>'Magnets - Fields'!H7</f>
        <v>0</v>
      </c>
      <c r="F7" s="1">
        <f>'Magnets - Fields'!M7</f>
        <v>0</v>
      </c>
      <c r="H7">
        <f>Constants!$J$4</f>
        <v>4.4975932291737861E-3</v>
      </c>
      <c r="J7" s="5">
        <f t="shared" si="0"/>
        <v>0</v>
      </c>
    </row>
    <row r="8" spans="1:10" x14ac:dyDescent="0.35">
      <c r="A8" t="s">
        <v>36</v>
      </c>
      <c r="B8" t="s">
        <v>27</v>
      </c>
      <c r="C8" t="s">
        <v>28</v>
      </c>
      <c r="E8" s="1">
        <f>'Magnets - Fields'!H8</f>
        <v>0</v>
      </c>
      <c r="F8" s="1">
        <f>'Magnets - Fields'!M8</f>
        <v>0</v>
      </c>
      <c r="H8">
        <f>Constants!$J$4</f>
        <v>4.4975932291737861E-3</v>
      </c>
      <c r="J8" s="5">
        <f t="shared" si="0"/>
        <v>0</v>
      </c>
    </row>
    <row r="9" spans="1:10" x14ac:dyDescent="0.35">
      <c r="A9" t="s">
        <v>38</v>
      </c>
      <c r="B9" t="s">
        <v>27</v>
      </c>
      <c r="C9" t="s">
        <v>28</v>
      </c>
      <c r="E9" s="1">
        <f>'Magnets - Fields'!H9</f>
        <v>0</v>
      </c>
      <c r="F9" s="1">
        <f>'Magnets - Fields'!M9</f>
        <v>0</v>
      </c>
      <c r="H9">
        <f>Constants!$J$4</f>
        <v>4.4975932291737861E-3</v>
      </c>
      <c r="J9" s="5">
        <f t="shared" si="0"/>
        <v>0</v>
      </c>
    </row>
    <row r="10" spans="1:10" x14ac:dyDescent="0.35">
      <c r="A10" t="s">
        <v>46</v>
      </c>
      <c r="B10" t="s">
        <v>27</v>
      </c>
      <c r="C10" t="s">
        <v>44</v>
      </c>
      <c r="E10" s="1">
        <f>'Magnets - Fields'!H10</f>
        <v>0.24683876470301333</v>
      </c>
      <c r="F10" s="1">
        <f>'Magnets - Fields'!M10</f>
        <v>0</v>
      </c>
      <c r="H10">
        <f>Constants!$J$3</f>
        <v>1.9656197235260481E-3</v>
      </c>
      <c r="J10" s="5">
        <f t="shared" si="0"/>
        <v>125.57808702703642</v>
      </c>
    </row>
    <row r="11" spans="1:10" x14ac:dyDescent="0.35">
      <c r="A11" t="s">
        <v>47</v>
      </c>
      <c r="B11" t="s">
        <v>27</v>
      </c>
      <c r="C11" t="s">
        <v>44</v>
      </c>
      <c r="E11" s="1">
        <f>'Magnets - Fields'!H11</f>
        <v>0.24683876470301333</v>
      </c>
      <c r="F11" s="1">
        <f>'Magnets - Fields'!M11</f>
        <v>0</v>
      </c>
      <c r="H11">
        <f>Constants!$J$3</f>
        <v>1.9656197235260481E-3</v>
      </c>
      <c r="J11" s="5">
        <f t="shared" si="0"/>
        <v>125.57808702703642</v>
      </c>
    </row>
    <row r="12" spans="1:10" x14ac:dyDescent="0.35">
      <c r="A12" t="s">
        <v>48</v>
      </c>
      <c r="B12" t="s">
        <v>27</v>
      </c>
      <c r="C12" t="s">
        <v>44</v>
      </c>
      <c r="E12" s="1">
        <f>'Magnets - Fields'!H12</f>
        <v>0.24683876470301333</v>
      </c>
      <c r="F12" s="1">
        <f>'Magnets - Fields'!M12</f>
        <v>0</v>
      </c>
      <c r="H12">
        <f>Constants!$J$3</f>
        <v>1.9656197235260481E-3</v>
      </c>
      <c r="J12" s="5">
        <f t="shared" si="0"/>
        <v>125.57808702703642</v>
      </c>
    </row>
    <row r="13" spans="1:10" x14ac:dyDescent="0.35">
      <c r="A13" t="s">
        <v>49</v>
      </c>
      <c r="B13" t="s">
        <v>27</v>
      </c>
      <c r="C13" t="s">
        <v>44</v>
      </c>
      <c r="E13" s="1">
        <f>'Magnets - Fields'!H13</f>
        <v>0.24683876470301333</v>
      </c>
      <c r="F13" s="1">
        <f>'Magnets - Fields'!M13</f>
        <v>0</v>
      </c>
      <c r="H13">
        <f>Constants!$J$3</f>
        <v>1.9656197235260481E-3</v>
      </c>
      <c r="J13" s="5">
        <f t="shared" si="0"/>
        <v>125.57808702703642</v>
      </c>
    </row>
    <row r="14" spans="1:10" x14ac:dyDescent="0.35">
      <c r="A14" t="s">
        <v>50</v>
      </c>
      <c r="B14" t="s">
        <v>27</v>
      </c>
      <c r="C14" t="s">
        <v>44</v>
      </c>
      <c r="E14" s="1">
        <f>'Magnets - Fields'!H14</f>
        <v>0.24683876470301333</v>
      </c>
      <c r="F14" s="1">
        <f>'Magnets - Fields'!M14</f>
        <v>0</v>
      </c>
      <c r="H14">
        <f>Constants!$J$3</f>
        <v>1.9656197235260481E-3</v>
      </c>
      <c r="J14" s="5">
        <f t="shared" si="0"/>
        <v>125.57808702703642</v>
      </c>
    </row>
    <row r="15" spans="1:10" x14ac:dyDescent="0.35">
      <c r="A15" t="s">
        <v>51</v>
      </c>
      <c r="B15" t="s">
        <v>27</v>
      </c>
      <c r="C15" t="s">
        <v>44</v>
      </c>
      <c r="E15" s="1">
        <f>'Magnets - Fields'!H15</f>
        <v>0.24683876470301333</v>
      </c>
      <c r="F15" s="1">
        <f>'Magnets - Fields'!M15</f>
        <v>0</v>
      </c>
      <c r="H15">
        <f>Constants!$J$3</f>
        <v>1.9656197235260481E-3</v>
      </c>
      <c r="J15" s="5">
        <f t="shared" si="0"/>
        <v>125.57808702703642</v>
      </c>
    </row>
    <row r="16" spans="1:10" x14ac:dyDescent="0.35">
      <c r="A16" t="s">
        <v>65</v>
      </c>
      <c r="B16" t="s">
        <v>66</v>
      </c>
      <c r="C16" t="s">
        <v>67</v>
      </c>
      <c r="E16" s="1">
        <f>'Magnets - Fields'!H16</f>
        <v>0</v>
      </c>
      <c r="F16" s="1">
        <f>'Magnets - Fields'!M16</f>
        <v>0</v>
      </c>
      <c r="H16">
        <f>Constants!$J$16</f>
        <v>0.61862545532105584</v>
      </c>
      <c r="J16" s="5">
        <f t="shared" si="0"/>
        <v>0</v>
      </c>
    </row>
    <row r="17" spans="1:10" x14ac:dyDescent="0.35">
      <c r="A17" t="s">
        <v>68</v>
      </c>
      <c r="B17" t="s">
        <v>66</v>
      </c>
      <c r="C17" t="s">
        <v>67</v>
      </c>
      <c r="E17" s="1">
        <f>'Magnets - Fields'!H17</f>
        <v>0</v>
      </c>
      <c r="F17" s="1">
        <f>'Magnets - Fields'!M17</f>
        <v>0</v>
      </c>
      <c r="H17">
        <f>Constants!$J$16</f>
        <v>0.61862545532105584</v>
      </c>
      <c r="J17" s="5">
        <f t="shared" si="0"/>
        <v>0</v>
      </c>
    </row>
    <row r="18" spans="1:10" x14ac:dyDescent="0.35">
      <c r="A18" t="s">
        <v>69</v>
      </c>
      <c r="B18" t="s">
        <v>27</v>
      </c>
      <c r="C18" t="s">
        <v>70</v>
      </c>
      <c r="E18" s="1">
        <f>'Magnets - Fields'!H18</f>
        <v>-3.1664785909991107</v>
      </c>
      <c r="F18" s="1">
        <f>'Magnets - Fields'!M18</f>
        <v>0</v>
      </c>
      <c r="H18">
        <f>Constants!$J$6</f>
        <v>3.1901826199653154E-3</v>
      </c>
      <c r="J18" s="5">
        <f t="shared" si="0"/>
        <v>-992.56969528394507</v>
      </c>
    </row>
    <row r="19" spans="1:10" x14ac:dyDescent="0.35">
      <c r="A19" t="s">
        <v>71</v>
      </c>
      <c r="B19" t="s">
        <v>27</v>
      </c>
      <c r="C19" t="s">
        <v>70</v>
      </c>
      <c r="E19" s="1">
        <f>'Magnets - Fields'!H19</f>
        <v>-3.1664785909991107</v>
      </c>
      <c r="F19" s="1">
        <f>'Magnets - Fields'!M19</f>
        <v>0</v>
      </c>
      <c r="H19">
        <f>Constants!$J$6</f>
        <v>3.1901826199653154E-3</v>
      </c>
      <c r="J19" s="5">
        <f t="shared" si="0"/>
        <v>-992.56969528394507</v>
      </c>
    </row>
    <row r="20" spans="1:10" x14ac:dyDescent="0.35">
      <c r="A20" t="s">
        <v>72</v>
      </c>
      <c r="B20" t="s">
        <v>27</v>
      </c>
      <c r="C20" t="s">
        <v>73</v>
      </c>
      <c r="E20" s="1">
        <f>'Magnets - Fields'!H20</f>
        <v>-2.0072126030602147</v>
      </c>
      <c r="F20" s="1">
        <f>'Magnets - Fields'!M20</f>
        <v>0</v>
      </c>
      <c r="H20">
        <f>Constants!$J$14</f>
        <v>5.2726108882889871E-3</v>
      </c>
      <c r="J20" s="5">
        <f t="shared" si="0"/>
        <v>-380.68665516707119</v>
      </c>
    </row>
    <row r="21" spans="1:10" x14ac:dyDescent="0.35">
      <c r="A21" t="s">
        <v>74</v>
      </c>
      <c r="B21" t="s">
        <v>27</v>
      </c>
      <c r="C21" t="s">
        <v>73</v>
      </c>
      <c r="E21" s="1">
        <f>'Magnets - Fields'!H21</f>
        <v>-2.0072126030602147</v>
      </c>
      <c r="F21" s="1">
        <f>'Magnets - Fields'!M21</f>
        <v>0</v>
      </c>
      <c r="H21">
        <f>Constants!$J$14</f>
        <v>5.2726108882889871E-3</v>
      </c>
      <c r="J21" s="5">
        <f t="shared" si="0"/>
        <v>-380.68665516707119</v>
      </c>
    </row>
    <row r="22" spans="1:10" x14ac:dyDescent="0.35">
      <c r="A22" t="s">
        <v>75</v>
      </c>
      <c r="B22" t="s">
        <v>27</v>
      </c>
      <c r="C22" t="s">
        <v>73</v>
      </c>
      <c r="E22" s="1">
        <f>'Magnets - Fields'!H22</f>
        <v>-2.0072126030602147</v>
      </c>
      <c r="F22" s="1">
        <f>'Magnets - Fields'!M22</f>
        <v>0</v>
      </c>
      <c r="H22">
        <f>Constants!$J$14</f>
        <v>5.2726108882889871E-3</v>
      </c>
      <c r="J22" s="5">
        <f t="shared" si="0"/>
        <v>-380.68665516707119</v>
      </c>
    </row>
    <row r="23" spans="1:10" x14ac:dyDescent="0.35">
      <c r="A23" t="s">
        <v>76</v>
      </c>
      <c r="B23" t="s">
        <v>27</v>
      </c>
      <c r="C23" t="s">
        <v>77</v>
      </c>
      <c r="E23" s="1">
        <f>'Magnets - Fields'!H23</f>
        <v>0</v>
      </c>
      <c r="F23" s="1">
        <f>'Magnets - Fields'!M23</f>
        <v>0</v>
      </c>
      <c r="H23">
        <f>Constants!$J$10</f>
        <v>2.0804224736499567E-3</v>
      </c>
      <c r="J23" s="5">
        <f t="shared" si="0"/>
        <v>0</v>
      </c>
    </row>
    <row r="24" spans="1:10" x14ac:dyDescent="0.35">
      <c r="A24" t="s">
        <v>81</v>
      </c>
      <c r="B24" t="s">
        <v>27</v>
      </c>
      <c r="C24" t="s">
        <v>70</v>
      </c>
      <c r="E24" s="1">
        <f>'Magnets - Fields'!H24</f>
        <v>-2.2918094890832776</v>
      </c>
      <c r="F24" s="1">
        <f>'Magnets - Fields'!M24</f>
        <v>0</v>
      </c>
      <c r="H24">
        <f>Constants!$J$6</f>
        <v>3.1901826199653154E-3</v>
      </c>
      <c r="J24" s="5">
        <f t="shared" si="0"/>
        <v>-718.39445012969031</v>
      </c>
    </row>
    <row r="25" spans="1:10" x14ac:dyDescent="0.35">
      <c r="A25" t="s">
        <v>82</v>
      </c>
      <c r="B25" t="s">
        <v>27</v>
      </c>
      <c r="C25" t="s">
        <v>70</v>
      </c>
      <c r="E25" s="1">
        <f>'Magnets - Fields'!H25</f>
        <v>-2.2918094890832776</v>
      </c>
      <c r="F25" s="1">
        <f>'Magnets - Fields'!M25</f>
        <v>0</v>
      </c>
      <c r="H25">
        <f>Constants!$J$6</f>
        <v>3.1901826199653154E-3</v>
      </c>
      <c r="J25" s="5">
        <f t="shared" si="0"/>
        <v>-718.39445012969031</v>
      </c>
    </row>
    <row r="26" spans="1:10" x14ac:dyDescent="0.35">
      <c r="A26" t="s">
        <v>83</v>
      </c>
      <c r="B26" t="s">
        <v>27</v>
      </c>
      <c r="C26" t="s">
        <v>70</v>
      </c>
      <c r="E26" s="1">
        <f>'Magnets - Fields'!H26</f>
        <v>-2.2918094890832776</v>
      </c>
      <c r="F26" s="1">
        <f>'Magnets - Fields'!M26</f>
        <v>0</v>
      </c>
      <c r="H26">
        <f>Constants!$J$6</f>
        <v>3.1901826199653154E-3</v>
      </c>
      <c r="J26" s="5">
        <f t="shared" si="0"/>
        <v>-718.39445012969031</v>
      </c>
    </row>
    <row r="27" spans="1:10" x14ac:dyDescent="0.35">
      <c r="A27" t="s">
        <v>84</v>
      </c>
      <c r="B27" t="s">
        <v>27</v>
      </c>
      <c r="C27" t="s">
        <v>70</v>
      </c>
      <c r="E27" s="1">
        <f>'Magnets - Fields'!H27</f>
        <v>-2.2918094890832776</v>
      </c>
      <c r="F27" s="1">
        <f>'Magnets - Fields'!M27</f>
        <v>0</v>
      </c>
      <c r="H27">
        <f>Constants!$J$6</f>
        <v>3.1901826199653154E-3</v>
      </c>
      <c r="J27" s="5">
        <f t="shared" si="0"/>
        <v>-718.39445012969031</v>
      </c>
    </row>
    <row r="28" spans="1:10" x14ac:dyDescent="0.35">
      <c r="A28" t="s">
        <v>85</v>
      </c>
      <c r="B28" t="s">
        <v>27</v>
      </c>
      <c r="C28" t="s">
        <v>70</v>
      </c>
      <c r="E28" s="1">
        <f>'Magnets - Fields'!H28</f>
        <v>-2.2918094890832776</v>
      </c>
      <c r="F28" s="1">
        <f>'Magnets - Fields'!M28</f>
        <v>0</v>
      </c>
      <c r="H28">
        <f>Constants!$J$6</f>
        <v>3.1901826199653154E-3</v>
      </c>
      <c r="J28" s="5">
        <f t="shared" si="0"/>
        <v>-718.39445012969031</v>
      </c>
    </row>
    <row r="29" spans="1:10" x14ac:dyDescent="0.35">
      <c r="A29" t="s">
        <v>94</v>
      </c>
      <c r="B29" t="s">
        <v>66</v>
      </c>
      <c r="C29" t="s">
        <v>95</v>
      </c>
      <c r="E29" s="1">
        <f>'Magnets - Fields'!H29</f>
        <v>0</v>
      </c>
      <c r="F29" s="1">
        <f>'Magnets - Fields'!M29</f>
        <v>0</v>
      </c>
      <c r="H29">
        <f>Constants!$J$15</f>
        <v>0.61862545532105584</v>
      </c>
      <c r="J29" s="5">
        <f t="shared" si="0"/>
        <v>0</v>
      </c>
    </row>
    <row r="30" spans="1:10" x14ac:dyDescent="0.35">
      <c r="A30" t="s">
        <v>97</v>
      </c>
      <c r="B30" t="s">
        <v>66</v>
      </c>
      <c r="C30" t="s">
        <v>95</v>
      </c>
      <c r="E30" s="1">
        <f>'Magnets - Fields'!H30</f>
        <v>0</v>
      </c>
      <c r="F30" s="1">
        <f>'Magnets - Fields'!M30</f>
        <v>0</v>
      </c>
      <c r="H30">
        <f>Constants!$J$15</f>
        <v>0.61862545532105584</v>
      </c>
      <c r="J30" s="5">
        <f t="shared" si="0"/>
        <v>0</v>
      </c>
    </row>
    <row r="31" spans="1:10" x14ac:dyDescent="0.35">
      <c r="A31" t="s">
        <v>99</v>
      </c>
      <c r="B31" t="s">
        <v>100</v>
      </c>
      <c r="C31" t="s">
        <v>101</v>
      </c>
      <c r="E31" s="1">
        <f>'Magnets - Fields'!H31</f>
        <v>0</v>
      </c>
      <c r="F31" s="1">
        <f>'Magnets - Fields'!M31</f>
        <v>0</v>
      </c>
      <c r="H31">
        <f>Constants!$J$13</f>
        <v>1.840745715063359E-3</v>
      </c>
      <c r="J31" s="5">
        <f t="shared" si="0"/>
        <v>0</v>
      </c>
    </row>
    <row r="32" spans="1:10" x14ac:dyDescent="0.35">
      <c r="A32" t="s">
        <v>113</v>
      </c>
      <c r="B32" t="s">
        <v>66</v>
      </c>
      <c r="C32" t="s">
        <v>95</v>
      </c>
      <c r="E32" s="1">
        <f>'Magnets - Fields'!H32</f>
        <v>0</v>
      </c>
      <c r="F32" s="1">
        <f>'Magnets - Fields'!M32</f>
        <v>0</v>
      </c>
      <c r="H32">
        <f>Constants!$J$15</f>
        <v>0.61862545532105584</v>
      </c>
      <c r="J32" s="5">
        <f t="shared" si="0"/>
        <v>0</v>
      </c>
    </row>
    <row r="33" spans="1:10" x14ac:dyDescent="0.35">
      <c r="A33" t="s">
        <v>114</v>
      </c>
      <c r="B33" t="s">
        <v>66</v>
      </c>
      <c r="C33" t="s">
        <v>95</v>
      </c>
      <c r="E33" s="1">
        <f>'Magnets - Fields'!H33</f>
        <v>0</v>
      </c>
      <c r="F33" s="1">
        <f>'Magnets - Fields'!M33</f>
        <v>0</v>
      </c>
      <c r="H33">
        <f>Constants!$J$15</f>
        <v>0.61862545532105584</v>
      </c>
      <c r="J33" s="5">
        <f t="shared" si="0"/>
        <v>0</v>
      </c>
    </row>
    <row r="34" spans="1:10" x14ac:dyDescent="0.35">
      <c r="A34" t="s">
        <v>267</v>
      </c>
      <c r="B34" t="s">
        <v>27</v>
      </c>
      <c r="C34" t="s">
        <v>70</v>
      </c>
      <c r="E34" s="1">
        <f>'Magnets - Fields'!H34</f>
        <v>-2.5377556362675411</v>
      </c>
      <c r="F34" s="1">
        <f>'Magnets - Fields'!M34</f>
        <v>0</v>
      </c>
      <c r="H34">
        <f>Constants!$J$6</f>
        <v>3.1901826199653154E-3</v>
      </c>
      <c r="J34" s="5">
        <f t="shared" si="0"/>
        <v>-795.48914234105268</v>
      </c>
    </row>
    <row r="35" spans="1:10" x14ac:dyDescent="0.35">
      <c r="A35" t="s">
        <v>116</v>
      </c>
      <c r="B35" t="s">
        <v>27</v>
      </c>
      <c r="C35" t="s">
        <v>117</v>
      </c>
      <c r="E35" s="1">
        <f>'Magnets - Fields'!H35</f>
        <v>0.64104748092095098</v>
      </c>
      <c r="F35" s="1">
        <f>'Magnets - Fields'!M35</f>
        <v>0</v>
      </c>
      <c r="H35">
        <f>Constants!$J$5</f>
        <v>1.8179947887373621E-2</v>
      </c>
      <c r="J35" s="5">
        <f t="shared" si="0"/>
        <v>35.26123864008283</v>
      </c>
    </row>
    <row r="36" spans="1:10" x14ac:dyDescent="0.35">
      <c r="A36" t="s">
        <v>118</v>
      </c>
      <c r="B36" t="s">
        <v>27</v>
      </c>
      <c r="C36" t="s">
        <v>117</v>
      </c>
      <c r="E36" s="1">
        <f>'Magnets - Fields'!H36</f>
        <v>0.64104748092095098</v>
      </c>
      <c r="F36" s="1">
        <f>'Magnets - Fields'!M36</f>
        <v>0</v>
      </c>
      <c r="H36">
        <f>Constants!$J$5</f>
        <v>1.8179947887373621E-2</v>
      </c>
      <c r="J36" s="5">
        <f t="shared" si="0"/>
        <v>35.26123864008283</v>
      </c>
    </row>
    <row r="37" spans="1:10" x14ac:dyDescent="0.35">
      <c r="A37" t="s">
        <v>124</v>
      </c>
      <c r="B37" t="s">
        <v>66</v>
      </c>
      <c r="C37" t="s">
        <v>67</v>
      </c>
      <c r="E37" s="1">
        <f>'Magnets - Fields'!H37</f>
        <v>0</v>
      </c>
      <c r="F37" s="1">
        <f>'Magnets - Fields'!M37</f>
        <v>0</v>
      </c>
      <c r="H37">
        <f>Constants!$J$16</f>
        <v>0.61862545532105584</v>
      </c>
      <c r="J37" s="5">
        <f t="shared" si="0"/>
        <v>0</v>
      </c>
    </row>
    <row r="38" spans="1:10" x14ac:dyDescent="0.35">
      <c r="A38" t="s">
        <v>125</v>
      </c>
      <c r="B38" t="s">
        <v>27</v>
      </c>
      <c r="C38" t="s">
        <v>70</v>
      </c>
      <c r="E38" s="1">
        <f>'Magnets - Fields'!H38</f>
        <v>-3.2020151754451414</v>
      </c>
      <c r="F38" s="1">
        <f>'Magnets - Fields'!M38</f>
        <v>0</v>
      </c>
      <c r="H38">
        <f>Constants!$J$6</f>
        <v>3.1901826199653154E-3</v>
      </c>
      <c r="J38" s="5">
        <f t="shared" si="0"/>
        <v>-1003.7090527061911</v>
      </c>
    </row>
    <row r="39" spans="1:10" x14ac:dyDescent="0.35">
      <c r="A39" t="s">
        <v>126</v>
      </c>
      <c r="B39" t="s">
        <v>66</v>
      </c>
      <c r="C39" t="s">
        <v>67</v>
      </c>
      <c r="E39" s="1">
        <f>'Magnets - Fields'!H39</f>
        <v>0</v>
      </c>
      <c r="F39" s="1">
        <f>'Magnets - Fields'!M39</f>
        <v>0</v>
      </c>
      <c r="H39">
        <f>Constants!$J$16</f>
        <v>0.61862545532105584</v>
      </c>
      <c r="J39" s="5">
        <f t="shared" si="0"/>
        <v>0</v>
      </c>
    </row>
    <row r="40" spans="1:10" x14ac:dyDescent="0.35">
      <c r="A40" t="s">
        <v>127</v>
      </c>
      <c r="B40" t="s">
        <v>27</v>
      </c>
      <c r="C40" t="s">
        <v>70</v>
      </c>
      <c r="E40" s="1">
        <f>'Magnets - Fields'!H40</f>
        <v>-3.2020151754451414</v>
      </c>
      <c r="F40" s="1">
        <f>'Magnets - Fields'!M40</f>
        <v>0</v>
      </c>
      <c r="H40">
        <f>Constants!$J$6</f>
        <v>3.1901826199653154E-3</v>
      </c>
      <c r="J40" s="5">
        <f t="shared" si="0"/>
        <v>-1003.7090527061911</v>
      </c>
    </row>
    <row r="41" spans="1:10" x14ac:dyDescent="0.35">
      <c r="A41" t="s">
        <v>128</v>
      </c>
      <c r="B41" t="s">
        <v>66</v>
      </c>
      <c r="C41" t="s">
        <v>67</v>
      </c>
      <c r="E41" s="1">
        <f>'Magnets - Fields'!H41</f>
        <v>0</v>
      </c>
      <c r="F41" s="1">
        <f>'Magnets - Fields'!M41</f>
        <v>0</v>
      </c>
      <c r="H41">
        <f>Constants!$J$16</f>
        <v>0.61862545532105584</v>
      </c>
      <c r="J41" s="5">
        <f t="shared" si="0"/>
        <v>0</v>
      </c>
    </row>
    <row r="42" spans="1:10" x14ac:dyDescent="0.35">
      <c r="A42" t="s">
        <v>129</v>
      </c>
      <c r="B42" t="s">
        <v>100</v>
      </c>
      <c r="C42" t="s">
        <v>77</v>
      </c>
      <c r="E42" s="1">
        <f>'Magnets - Fields'!H42</f>
        <v>0</v>
      </c>
      <c r="F42" s="1">
        <f>'Magnets - Fields'!M42</f>
        <v>0</v>
      </c>
      <c r="H42">
        <f>Constants!$J$10</f>
        <v>2.0804224736499567E-3</v>
      </c>
      <c r="J42" s="5">
        <f t="shared" si="0"/>
        <v>0</v>
      </c>
    </row>
    <row r="43" spans="1:10" x14ac:dyDescent="0.35">
      <c r="A43" t="s">
        <v>135</v>
      </c>
      <c r="B43" t="s">
        <v>136</v>
      </c>
      <c r="C43" t="s">
        <v>77</v>
      </c>
      <c r="E43" s="1">
        <f>'Magnets - Fields'!H43</f>
        <v>0</v>
      </c>
      <c r="F43" s="1">
        <f>'Magnets - Fields'!M43</f>
        <v>0</v>
      </c>
      <c r="H43">
        <f>Constants!$J$10</f>
        <v>2.0804224736499567E-3</v>
      </c>
      <c r="J43" s="5">
        <f t="shared" si="0"/>
        <v>0</v>
      </c>
    </row>
    <row r="44" spans="1:10" x14ac:dyDescent="0.35">
      <c r="A44" t="s">
        <v>137</v>
      </c>
      <c r="B44" t="s">
        <v>66</v>
      </c>
      <c r="C44" t="s">
        <v>67</v>
      </c>
      <c r="E44" s="1">
        <f>'Magnets - Fields'!H44</f>
        <v>0</v>
      </c>
      <c r="F44" s="1">
        <f>'Magnets - Fields'!M44</f>
        <v>0</v>
      </c>
      <c r="H44">
        <f>Constants!$J$16</f>
        <v>0.61862545532105584</v>
      </c>
      <c r="J44" s="5">
        <f t="shared" si="0"/>
        <v>0</v>
      </c>
    </row>
    <row r="45" spans="1:10" x14ac:dyDescent="0.35">
      <c r="A45" t="s">
        <v>138</v>
      </c>
      <c r="B45" t="s">
        <v>66</v>
      </c>
      <c r="C45" t="s">
        <v>67</v>
      </c>
      <c r="E45" s="1">
        <f>'Magnets - Fields'!H45</f>
        <v>0</v>
      </c>
      <c r="F45" s="1">
        <f>'Magnets - Fields'!M45</f>
        <v>0</v>
      </c>
      <c r="H45">
        <f>Constants!$J$16</f>
        <v>0.61862545532105584</v>
      </c>
      <c r="J45" s="5">
        <f t="shared" si="0"/>
        <v>0</v>
      </c>
    </row>
    <row r="46" spans="1:10" x14ac:dyDescent="0.35">
      <c r="A46" t="s">
        <v>139</v>
      </c>
      <c r="B46" t="s">
        <v>66</v>
      </c>
      <c r="C46" t="s">
        <v>67</v>
      </c>
      <c r="E46" s="1">
        <f>'Magnets - Fields'!H46</f>
        <v>0</v>
      </c>
      <c r="F46" s="1">
        <f>'Magnets - Fields'!M46</f>
        <v>0</v>
      </c>
      <c r="H46">
        <f>Constants!$J$16</f>
        <v>0.61862545532105584</v>
      </c>
      <c r="J46" s="5">
        <f t="shared" si="0"/>
        <v>0</v>
      </c>
    </row>
    <row r="47" spans="1:10" x14ac:dyDescent="0.35">
      <c r="A47" t="s">
        <v>143</v>
      </c>
      <c r="B47" t="s">
        <v>100</v>
      </c>
      <c r="C47" t="s">
        <v>77</v>
      </c>
      <c r="E47" s="1">
        <f>'Magnets - Fields'!H47</f>
        <v>0</v>
      </c>
      <c r="F47" s="1">
        <f>'Magnets - Fields'!M47</f>
        <v>0</v>
      </c>
      <c r="H47">
        <f>Constants!$J$10</f>
        <v>2.0804224736499567E-3</v>
      </c>
      <c r="J47" s="5">
        <f t="shared" si="0"/>
        <v>0</v>
      </c>
    </row>
    <row r="48" spans="1:10" x14ac:dyDescent="0.35">
      <c r="A48" t="s">
        <v>144</v>
      </c>
      <c r="B48" t="s">
        <v>27</v>
      </c>
      <c r="C48" t="s">
        <v>70</v>
      </c>
      <c r="E48" s="1">
        <f>'Magnets - Fields'!H48</f>
        <v>3.563064952087621</v>
      </c>
      <c r="F48" s="1">
        <f>'Magnets - Fields'!M48</f>
        <v>0</v>
      </c>
      <c r="H48">
        <f>Constants!$J$7</f>
        <v>3.1901826199653154E-3</v>
      </c>
      <c r="J48" s="5">
        <f t="shared" si="0"/>
        <v>1116.8843218531356</v>
      </c>
    </row>
    <row r="49" spans="1:10" x14ac:dyDescent="0.35">
      <c r="A49" t="s">
        <v>145</v>
      </c>
      <c r="B49" t="s">
        <v>27</v>
      </c>
      <c r="C49" t="s">
        <v>146</v>
      </c>
      <c r="E49" s="1">
        <f>'Magnets - Fields'!H49</f>
        <v>3.563064952087621</v>
      </c>
      <c r="F49" s="1">
        <f>'Magnets - Fields'!M49</f>
        <v>0</v>
      </c>
      <c r="H49">
        <f>Constants!$J$8</f>
        <v>3.1901826199653154E-3</v>
      </c>
      <c r="J49" s="5">
        <f t="shared" si="0"/>
        <v>1116.8843218531356</v>
      </c>
    </row>
    <row r="50" spans="1:10" x14ac:dyDescent="0.35">
      <c r="A50" t="s">
        <v>147</v>
      </c>
      <c r="B50" t="s">
        <v>27</v>
      </c>
      <c r="C50" t="s">
        <v>70</v>
      </c>
      <c r="E50" s="1">
        <f>'Magnets - Fields'!H50</f>
        <v>3.563064952087621</v>
      </c>
      <c r="F50" s="1">
        <f>'Magnets - Fields'!M50</f>
        <v>0</v>
      </c>
      <c r="H50">
        <f>Constants!$J$7</f>
        <v>3.1901826199653154E-3</v>
      </c>
      <c r="J50" s="5">
        <f t="shared" si="0"/>
        <v>1116.8843218531356</v>
      </c>
    </row>
    <row r="51" spans="1:10" x14ac:dyDescent="0.35">
      <c r="A51" t="s">
        <v>148</v>
      </c>
      <c r="B51" t="s">
        <v>27</v>
      </c>
      <c r="C51" t="s">
        <v>70</v>
      </c>
      <c r="E51" s="1">
        <f>'Magnets - Fields'!H51</f>
        <v>3.563064952087621</v>
      </c>
      <c r="F51" s="1">
        <f>'Magnets - Fields'!M51</f>
        <v>0</v>
      </c>
      <c r="H51">
        <f>Constants!$J$7</f>
        <v>3.1901826199653154E-3</v>
      </c>
      <c r="J51" s="5">
        <f t="shared" si="0"/>
        <v>1116.8843218531356</v>
      </c>
    </row>
    <row r="52" spans="1:10" x14ac:dyDescent="0.35">
      <c r="A52" t="s">
        <v>149</v>
      </c>
      <c r="B52" t="s">
        <v>27</v>
      </c>
      <c r="C52" t="s">
        <v>70</v>
      </c>
      <c r="E52" s="1">
        <f>'Magnets - Fields'!H52</f>
        <v>3.563064952087621</v>
      </c>
      <c r="F52" s="1">
        <f>'Magnets - Fields'!M52</f>
        <v>0</v>
      </c>
      <c r="H52">
        <f>Constants!$J$7</f>
        <v>3.1901826199653154E-3</v>
      </c>
      <c r="J52" s="5">
        <f t="shared" si="0"/>
        <v>1116.8843218531356</v>
      </c>
    </row>
    <row r="53" spans="1:10" x14ac:dyDescent="0.35">
      <c r="A53" t="s">
        <v>152</v>
      </c>
      <c r="B53" t="s">
        <v>66</v>
      </c>
      <c r="C53" t="s">
        <v>67</v>
      </c>
      <c r="E53" s="1">
        <f>'Magnets - Fields'!H53</f>
        <v>0</v>
      </c>
      <c r="F53" s="1">
        <f>'Magnets - Fields'!M53</f>
        <v>35.11863446384632</v>
      </c>
      <c r="H53">
        <f>Constants!$J$16</f>
        <v>0.61862545532105584</v>
      </c>
      <c r="J53" s="5">
        <f t="shared" si="0"/>
        <v>56.768815705490745</v>
      </c>
    </row>
    <row r="54" spans="1:10" x14ac:dyDescent="0.35">
      <c r="A54" t="s">
        <v>153</v>
      </c>
      <c r="B54" t="s">
        <v>66</v>
      </c>
      <c r="C54" t="s">
        <v>67</v>
      </c>
      <c r="E54" s="1">
        <f>'Magnets - Fields'!H54</f>
        <v>0</v>
      </c>
      <c r="F54" s="1">
        <f>'Magnets - Fields'!M54</f>
        <v>37.384353839615272</v>
      </c>
      <c r="H54">
        <f>Constants!$J$16</f>
        <v>0.61862545532105584</v>
      </c>
      <c r="J54" s="5">
        <f t="shared" si="0"/>
        <v>60.431321598645567</v>
      </c>
    </row>
    <row r="55" spans="1:10" x14ac:dyDescent="0.35">
      <c r="A55" t="s">
        <v>154</v>
      </c>
      <c r="B55" t="s">
        <v>100</v>
      </c>
      <c r="C55" t="s">
        <v>77</v>
      </c>
      <c r="E55" s="1">
        <f>'Magnets - Fields'!H55</f>
        <v>0</v>
      </c>
      <c r="F55" s="1">
        <f>'Magnets - Fields'!M55</f>
        <v>0</v>
      </c>
      <c r="H55">
        <f>Constants!$J$10</f>
        <v>2.0804224736499567E-3</v>
      </c>
      <c r="J55" s="5">
        <f t="shared" si="0"/>
        <v>0</v>
      </c>
    </row>
    <row r="56" spans="1:10" x14ac:dyDescent="0.35">
      <c r="A56" t="s">
        <v>155</v>
      </c>
      <c r="B56" t="s">
        <v>136</v>
      </c>
      <c r="C56" t="s">
        <v>77</v>
      </c>
      <c r="E56" s="1">
        <f>'Magnets - Fields'!H56</f>
        <v>0</v>
      </c>
      <c r="F56" s="1">
        <f>'Magnets - Fields'!M56</f>
        <v>0</v>
      </c>
      <c r="H56">
        <f>Constants!$J$10</f>
        <v>2.0804224736499567E-3</v>
      </c>
      <c r="J56" s="5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8"/>
  <sheetViews>
    <sheetView workbookViewId="0">
      <selection activeCell="I16" sqref="I16"/>
    </sheetView>
  </sheetViews>
  <sheetFormatPr defaultRowHeight="14.5" x14ac:dyDescent="0.35"/>
  <cols>
    <col min="1" max="1" width="8.54296875" bestFit="1" customWidth="1"/>
    <col min="2" max="2" width="7.81640625" bestFit="1" customWidth="1"/>
    <col min="3" max="3" width="10.54296875" bestFit="1" customWidth="1"/>
    <col min="4" max="4" width="9" bestFit="1" customWidth="1"/>
    <col min="5" max="5" width="7.453125" bestFit="1" customWidth="1"/>
    <col min="6" max="6" width="13.81640625" bestFit="1" customWidth="1"/>
    <col min="7" max="7" width="8.453125" bestFit="1" customWidth="1"/>
  </cols>
  <sheetData>
    <row r="1" spans="1:7" x14ac:dyDescent="0.35">
      <c r="A1" s="8" t="s">
        <v>242</v>
      </c>
      <c r="B1" s="8" t="s">
        <v>243</v>
      </c>
      <c r="C1" s="8" t="s">
        <v>244</v>
      </c>
      <c r="D1" s="8" t="s">
        <v>255</v>
      </c>
      <c r="E1" s="8" t="s">
        <v>214</v>
      </c>
      <c r="F1" s="8" t="s">
        <v>270</v>
      </c>
      <c r="G1" s="8" t="s">
        <v>271</v>
      </c>
    </row>
    <row r="2" spans="1:7" x14ac:dyDescent="0.35">
      <c r="A2" s="9" t="s">
        <v>252</v>
      </c>
      <c r="B2" s="9" t="s">
        <v>253</v>
      </c>
      <c r="C2" s="9" t="s">
        <v>219</v>
      </c>
      <c r="D2" s="9" t="s">
        <v>219</v>
      </c>
      <c r="E2" s="9" t="s">
        <v>219</v>
      </c>
      <c r="F2" s="9" t="s">
        <v>219</v>
      </c>
      <c r="G2" s="9" t="s">
        <v>219</v>
      </c>
    </row>
    <row r="3" spans="1:7" x14ac:dyDescent="0.35">
      <c r="A3" s="10">
        <v>5.4349999999999996</v>
      </c>
      <c r="B3" s="2" t="s">
        <v>13</v>
      </c>
      <c r="C3" t="s">
        <v>26</v>
      </c>
      <c r="D3" t="s">
        <v>27</v>
      </c>
      <c r="E3" t="s">
        <v>28</v>
      </c>
      <c r="F3" t="s">
        <v>272</v>
      </c>
      <c r="G3" s="2" t="s">
        <v>273</v>
      </c>
    </row>
    <row r="4" spans="1:7" x14ac:dyDescent="0.35">
      <c r="A4" s="10">
        <v>8.5850000000000009</v>
      </c>
      <c r="B4" s="2" t="s">
        <v>13</v>
      </c>
      <c r="C4" t="s">
        <v>29</v>
      </c>
      <c r="D4" t="s">
        <v>27</v>
      </c>
      <c r="E4" t="s">
        <v>28</v>
      </c>
      <c r="F4" t="s">
        <v>274</v>
      </c>
      <c r="G4" s="2" t="s">
        <v>273</v>
      </c>
    </row>
    <row r="5" spans="1:7" x14ac:dyDescent="0.35">
      <c r="A5" s="10">
        <v>11.734</v>
      </c>
      <c r="B5" s="2" t="s">
        <v>13</v>
      </c>
      <c r="C5" t="s">
        <v>30</v>
      </c>
      <c r="D5" t="s">
        <v>27</v>
      </c>
      <c r="E5" t="s">
        <v>28</v>
      </c>
      <c r="F5" t="s">
        <v>275</v>
      </c>
      <c r="G5" s="2" t="s">
        <v>273</v>
      </c>
    </row>
    <row r="6" spans="1:7" x14ac:dyDescent="0.35">
      <c r="A6" s="10">
        <v>14.884</v>
      </c>
      <c r="B6" s="2" t="s">
        <v>13</v>
      </c>
      <c r="C6" t="s">
        <v>31</v>
      </c>
      <c r="D6" t="s">
        <v>27</v>
      </c>
      <c r="E6" t="s">
        <v>28</v>
      </c>
      <c r="F6" t="s">
        <v>276</v>
      </c>
      <c r="G6" s="2" t="s">
        <v>273</v>
      </c>
    </row>
    <row r="7" spans="1:7" x14ac:dyDescent="0.35">
      <c r="A7" s="10">
        <v>18.033999999999999</v>
      </c>
      <c r="B7" s="2" t="s">
        <v>13</v>
      </c>
      <c r="C7" t="s">
        <v>32</v>
      </c>
      <c r="D7" t="s">
        <v>27</v>
      </c>
      <c r="E7" t="s">
        <v>28</v>
      </c>
      <c r="F7" t="s">
        <v>277</v>
      </c>
      <c r="G7" s="2" t="s">
        <v>273</v>
      </c>
    </row>
    <row r="8" spans="1:7" x14ac:dyDescent="0.35">
      <c r="A8" s="10">
        <v>21.183</v>
      </c>
      <c r="B8" s="2" t="s">
        <v>13</v>
      </c>
      <c r="C8" t="s">
        <v>36</v>
      </c>
      <c r="D8" t="s">
        <v>27</v>
      </c>
      <c r="E8" t="s">
        <v>28</v>
      </c>
      <c r="F8" t="s">
        <v>278</v>
      </c>
      <c r="G8" s="2" t="s">
        <v>273</v>
      </c>
    </row>
    <row r="9" spans="1:7" x14ac:dyDescent="0.35">
      <c r="A9" s="10">
        <v>24.332999999999998</v>
      </c>
      <c r="B9" s="2" t="s">
        <v>13</v>
      </c>
      <c r="C9" t="s">
        <v>38</v>
      </c>
      <c r="D9" t="s">
        <v>27</v>
      </c>
      <c r="E9" t="s">
        <v>28</v>
      </c>
      <c r="F9" t="s">
        <v>279</v>
      </c>
      <c r="G9" s="2" t="s">
        <v>273</v>
      </c>
    </row>
    <row r="10" spans="1:7" x14ac:dyDescent="0.35">
      <c r="A10" s="10">
        <v>27.736000000000001</v>
      </c>
      <c r="B10" s="2" t="s">
        <v>13</v>
      </c>
      <c r="C10" t="s">
        <v>42</v>
      </c>
      <c r="D10" t="s">
        <v>43</v>
      </c>
      <c r="E10" t="s">
        <v>44</v>
      </c>
      <c r="F10" t="s">
        <v>280</v>
      </c>
      <c r="G10" s="2" t="s">
        <v>273</v>
      </c>
    </row>
    <row r="11" spans="1:7" x14ac:dyDescent="0.35">
      <c r="A11" s="10">
        <v>30.861000000000001</v>
      </c>
      <c r="B11" s="2" t="s">
        <v>13</v>
      </c>
      <c r="C11" t="s">
        <v>46</v>
      </c>
      <c r="D11" t="s">
        <v>27</v>
      </c>
      <c r="E11" t="s">
        <v>44</v>
      </c>
      <c r="F11" t="s">
        <v>281</v>
      </c>
      <c r="G11" s="2" t="s">
        <v>273</v>
      </c>
    </row>
    <row r="12" spans="1:7" x14ac:dyDescent="0.35">
      <c r="A12" s="10">
        <v>34.01</v>
      </c>
      <c r="B12" s="2" t="s">
        <v>13</v>
      </c>
      <c r="C12" t="s">
        <v>47</v>
      </c>
      <c r="D12" t="s">
        <v>27</v>
      </c>
      <c r="E12" t="s">
        <v>44</v>
      </c>
      <c r="F12" t="s">
        <v>282</v>
      </c>
      <c r="G12" s="2" t="s">
        <v>273</v>
      </c>
    </row>
    <row r="13" spans="1:7" x14ac:dyDescent="0.35">
      <c r="A13" s="10">
        <v>37.159999999999997</v>
      </c>
      <c r="B13" s="2" t="s">
        <v>13</v>
      </c>
      <c r="C13" t="s">
        <v>48</v>
      </c>
      <c r="D13" t="s">
        <v>27</v>
      </c>
      <c r="E13" t="s">
        <v>44</v>
      </c>
      <c r="F13" t="s">
        <v>283</v>
      </c>
      <c r="G13" s="2" t="s">
        <v>273</v>
      </c>
    </row>
    <row r="14" spans="1:7" x14ac:dyDescent="0.35">
      <c r="A14" s="10">
        <v>40.308999999999997</v>
      </c>
      <c r="B14" s="2" t="s">
        <v>13</v>
      </c>
      <c r="C14" t="s">
        <v>49</v>
      </c>
      <c r="D14" t="s">
        <v>27</v>
      </c>
      <c r="E14" t="s">
        <v>44</v>
      </c>
      <c r="F14" t="s">
        <v>284</v>
      </c>
      <c r="G14" s="2" t="s">
        <v>273</v>
      </c>
    </row>
    <row r="15" spans="1:7" x14ac:dyDescent="0.35">
      <c r="A15" s="10">
        <v>43.459000000000003</v>
      </c>
      <c r="B15" s="2" t="s">
        <v>13</v>
      </c>
      <c r="C15" t="s">
        <v>50</v>
      </c>
      <c r="D15" t="s">
        <v>27</v>
      </c>
      <c r="E15" t="s">
        <v>44</v>
      </c>
      <c r="F15" t="s">
        <v>285</v>
      </c>
      <c r="G15" s="2" t="s">
        <v>273</v>
      </c>
    </row>
    <row r="16" spans="1:7" x14ac:dyDescent="0.35">
      <c r="A16" s="10">
        <v>46.607999999999997</v>
      </c>
      <c r="B16" s="2" t="s">
        <v>13</v>
      </c>
      <c r="C16" t="s">
        <v>51</v>
      </c>
      <c r="D16" t="s">
        <v>27</v>
      </c>
      <c r="E16" t="s">
        <v>44</v>
      </c>
      <c r="F16" t="s">
        <v>286</v>
      </c>
      <c r="G16" s="2" t="s">
        <v>273</v>
      </c>
    </row>
    <row r="17" spans="1:7" x14ac:dyDescent="0.35">
      <c r="A17" s="10">
        <v>124.605</v>
      </c>
      <c r="B17" s="2" t="s">
        <v>13</v>
      </c>
      <c r="C17" t="s">
        <v>65</v>
      </c>
      <c r="D17" t="s">
        <v>66</v>
      </c>
      <c r="E17" t="s">
        <v>67</v>
      </c>
      <c r="F17" t="s">
        <v>287</v>
      </c>
      <c r="G17" s="2" t="s">
        <v>288</v>
      </c>
    </row>
    <row r="18" spans="1:7" x14ac:dyDescent="0.35">
      <c r="A18" s="10">
        <v>127.958</v>
      </c>
      <c r="B18" s="2" t="s">
        <v>13</v>
      </c>
      <c r="C18" t="s">
        <v>68</v>
      </c>
      <c r="D18" t="s">
        <v>66</v>
      </c>
      <c r="E18" t="s">
        <v>67</v>
      </c>
      <c r="F18" t="s">
        <v>289</v>
      </c>
      <c r="G18" s="2" t="s">
        <v>288</v>
      </c>
    </row>
    <row r="19" spans="1:7" x14ac:dyDescent="0.35">
      <c r="A19" s="10">
        <v>131.31100000000001</v>
      </c>
      <c r="B19" s="2" t="s">
        <v>13</v>
      </c>
      <c r="C19" t="s">
        <v>69</v>
      </c>
      <c r="D19" t="s">
        <v>27</v>
      </c>
      <c r="E19" t="s">
        <v>70</v>
      </c>
      <c r="F19" t="s">
        <v>290</v>
      </c>
      <c r="G19" s="2" t="s">
        <v>288</v>
      </c>
    </row>
    <row r="20" spans="1:7" x14ac:dyDescent="0.35">
      <c r="A20" s="10">
        <v>134.66399999999999</v>
      </c>
      <c r="B20" s="2" t="s">
        <v>13</v>
      </c>
      <c r="C20" t="s">
        <v>71</v>
      </c>
      <c r="D20" t="s">
        <v>27</v>
      </c>
      <c r="E20" t="s">
        <v>70</v>
      </c>
      <c r="F20" t="s">
        <v>291</v>
      </c>
      <c r="G20" s="2" t="s">
        <v>288</v>
      </c>
    </row>
    <row r="21" spans="1:7" x14ac:dyDescent="0.35">
      <c r="A21" s="10">
        <v>146.80600000000001</v>
      </c>
      <c r="B21" s="2" t="s">
        <v>13</v>
      </c>
      <c r="C21" t="s">
        <v>72</v>
      </c>
      <c r="D21" t="s">
        <v>27</v>
      </c>
      <c r="E21" t="s">
        <v>73</v>
      </c>
      <c r="F21" t="s">
        <v>292</v>
      </c>
      <c r="G21" s="2" t="s">
        <v>288</v>
      </c>
    </row>
    <row r="22" spans="1:7" x14ac:dyDescent="0.35">
      <c r="A22" s="10">
        <v>150.54400000000001</v>
      </c>
      <c r="B22" s="2" t="s">
        <v>13</v>
      </c>
      <c r="C22" t="s">
        <v>74</v>
      </c>
      <c r="D22" t="s">
        <v>27</v>
      </c>
      <c r="E22" t="s">
        <v>73</v>
      </c>
      <c r="F22" t="s">
        <v>293</v>
      </c>
      <c r="G22" s="2" t="s">
        <v>288</v>
      </c>
    </row>
    <row r="23" spans="1:7" x14ac:dyDescent="0.35">
      <c r="A23" s="10">
        <v>154.26300000000001</v>
      </c>
      <c r="B23" s="2" t="s">
        <v>13</v>
      </c>
      <c r="C23" t="s">
        <v>75</v>
      </c>
      <c r="D23" t="s">
        <v>27</v>
      </c>
      <c r="E23" t="s">
        <v>73</v>
      </c>
      <c r="F23" t="s">
        <v>294</v>
      </c>
      <c r="G23" s="2" t="s">
        <v>288</v>
      </c>
    </row>
    <row r="24" spans="1:7" x14ac:dyDescent="0.35">
      <c r="A24" s="10">
        <v>159.023</v>
      </c>
      <c r="B24" s="2" t="s">
        <v>13</v>
      </c>
      <c r="C24" t="s">
        <v>76</v>
      </c>
      <c r="D24" t="s">
        <v>27</v>
      </c>
      <c r="E24" t="s">
        <v>77</v>
      </c>
      <c r="F24" t="s">
        <v>295</v>
      </c>
      <c r="G24" s="2" t="s">
        <v>288</v>
      </c>
    </row>
    <row r="25" spans="1:7" x14ac:dyDescent="0.35">
      <c r="A25" s="10">
        <v>179.48</v>
      </c>
      <c r="B25" s="2" t="s">
        <v>13</v>
      </c>
      <c r="C25" t="s">
        <v>81</v>
      </c>
      <c r="D25" t="s">
        <v>27</v>
      </c>
      <c r="E25" t="s">
        <v>70</v>
      </c>
      <c r="F25" t="s">
        <v>296</v>
      </c>
      <c r="G25" s="2" t="s">
        <v>288</v>
      </c>
    </row>
    <row r="26" spans="1:7" x14ac:dyDescent="0.35">
      <c r="A26" s="10">
        <v>182.54499999999999</v>
      </c>
      <c r="B26" s="2" t="s">
        <v>13</v>
      </c>
      <c r="C26" t="s">
        <v>82</v>
      </c>
      <c r="D26" t="s">
        <v>27</v>
      </c>
      <c r="E26" t="s">
        <v>70</v>
      </c>
      <c r="F26" t="s">
        <v>297</v>
      </c>
      <c r="G26" s="2" t="s">
        <v>288</v>
      </c>
    </row>
    <row r="27" spans="1:7" x14ac:dyDescent="0.35">
      <c r="A27" s="10">
        <v>185.91300000000001</v>
      </c>
      <c r="B27" s="2" t="s">
        <v>13</v>
      </c>
      <c r="C27" t="s">
        <v>83</v>
      </c>
      <c r="D27" t="s">
        <v>27</v>
      </c>
      <c r="E27" t="s">
        <v>70</v>
      </c>
      <c r="F27" t="s">
        <v>298</v>
      </c>
      <c r="G27" s="2" t="s">
        <v>288</v>
      </c>
    </row>
    <row r="28" spans="1:7" x14ac:dyDescent="0.35">
      <c r="A28" s="10">
        <v>189.29</v>
      </c>
      <c r="B28" s="2" t="s">
        <v>13</v>
      </c>
      <c r="C28" t="s">
        <v>84</v>
      </c>
      <c r="D28" t="s">
        <v>27</v>
      </c>
      <c r="E28" t="s">
        <v>70</v>
      </c>
      <c r="F28" t="s">
        <v>299</v>
      </c>
      <c r="G28" s="2" t="s">
        <v>288</v>
      </c>
    </row>
    <row r="29" spans="1:7" x14ac:dyDescent="0.35">
      <c r="A29" s="10">
        <v>192.63399999999999</v>
      </c>
      <c r="B29" s="2" t="s">
        <v>13</v>
      </c>
      <c r="C29" t="s">
        <v>85</v>
      </c>
      <c r="D29" t="s">
        <v>27</v>
      </c>
      <c r="E29" t="s">
        <v>70</v>
      </c>
      <c r="F29" t="s">
        <v>300</v>
      </c>
      <c r="G29" s="2" t="s">
        <v>288</v>
      </c>
    </row>
    <row r="30" spans="1:7" x14ac:dyDescent="0.35">
      <c r="A30" s="10">
        <v>279.29700000000003</v>
      </c>
      <c r="B30" s="2" t="s">
        <v>13</v>
      </c>
      <c r="C30" t="s">
        <v>94</v>
      </c>
      <c r="D30" t="s">
        <v>66</v>
      </c>
      <c r="E30" t="s">
        <v>95</v>
      </c>
      <c r="F30" t="s">
        <v>301</v>
      </c>
      <c r="G30" s="2" t="s">
        <v>302</v>
      </c>
    </row>
    <row r="31" spans="1:7" x14ac:dyDescent="0.35">
      <c r="A31" s="10">
        <v>284.97399999999999</v>
      </c>
      <c r="B31" s="2" t="s">
        <v>13</v>
      </c>
      <c r="C31" t="s">
        <v>97</v>
      </c>
      <c r="D31" t="s">
        <v>66</v>
      </c>
      <c r="E31" t="s">
        <v>95</v>
      </c>
      <c r="F31" t="s">
        <v>303</v>
      </c>
      <c r="G31" s="2" t="s">
        <v>302</v>
      </c>
    </row>
    <row r="32" spans="1:7" x14ac:dyDescent="0.35">
      <c r="A32" s="10">
        <v>287.32299999999998</v>
      </c>
      <c r="B32" s="2" t="s">
        <v>13</v>
      </c>
      <c r="C32" t="s">
        <v>99</v>
      </c>
      <c r="D32" t="s">
        <v>100</v>
      </c>
      <c r="E32" t="s">
        <v>101</v>
      </c>
      <c r="F32" t="s">
        <v>304</v>
      </c>
      <c r="G32" s="2" t="s">
        <v>302</v>
      </c>
    </row>
    <row r="33" spans="1:7" x14ac:dyDescent="0.35">
      <c r="A33" s="10">
        <v>354.52600000000001</v>
      </c>
      <c r="B33" s="2" t="s">
        <v>13</v>
      </c>
      <c r="C33" t="s">
        <v>112</v>
      </c>
      <c r="D33" t="s">
        <v>43</v>
      </c>
      <c r="E33" t="s">
        <v>70</v>
      </c>
      <c r="F33" t="s">
        <v>305</v>
      </c>
      <c r="G33" s="2" t="s">
        <v>302</v>
      </c>
    </row>
    <row r="34" spans="1:7" x14ac:dyDescent="0.35">
      <c r="A34" s="10">
        <v>361.23</v>
      </c>
      <c r="B34" s="2" t="s">
        <v>13</v>
      </c>
      <c r="C34" t="s">
        <v>113</v>
      </c>
      <c r="D34" t="s">
        <v>66</v>
      </c>
      <c r="E34" t="s">
        <v>95</v>
      </c>
      <c r="F34" t="s">
        <v>306</v>
      </c>
      <c r="G34" s="2" t="s">
        <v>302</v>
      </c>
    </row>
    <row r="35" spans="1:7" x14ac:dyDescent="0.35">
      <c r="A35" s="10">
        <v>364.58199999999999</v>
      </c>
      <c r="B35" s="2" t="s">
        <v>13</v>
      </c>
      <c r="C35" t="s">
        <v>114</v>
      </c>
      <c r="D35" t="s">
        <v>66</v>
      </c>
      <c r="E35" t="s">
        <v>95</v>
      </c>
      <c r="F35" t="s">
        <v>307</v>
      </c>
      <c r="G35" s="2" t="s">
        <v>302</v>
      </c>
    </row>
    <row r="36" spans="1:7" x14ac:dyDescent="0.35">
      <c r="A36" s="10">
        <v>367.96</v>
      </c>
      <c r="B36" s="2" t="s">
        <v>13</v>
      </c>
      <c r="C36" t="s">
        <v>115</v>
      </c>
      <c r="D36" t="s">
        <v>27</v>
      </c>
      <c r="E36" t="s">
        <v>70</v>
      </c>
      <c r="F36" t="s">
        <v>308</v>
      </c>
      <c r="G36" s="2" t="s">
        <v>302</v>
      </c>
    </row>
    <row r="37" spans="1:7" x14ac:dyDescent="0.35">
      <c r="A37" s="10">
        <v>371.46499999999997</v>
      </c>
      <c r="B37" s="2" t="s">
        <v>13</v>
      </c>
      <c r="C37" t="s">
        <v>116</v>
      </c>
      <c r="D37" t="s">
        <v>27</v>
      </c>
      <c r="E37" t="s">
        <v>117</v>
      </c>
      <c r="F37" t="s">
        <v>309</v>
      </c>
      <c r="G37" s="2" t="s">
        <v>302</v>
      </c>
    </row>
    <row r="38" spans="1:7" x14ac:dyDescent="0.35">
      <c r="A38" s="10">
        <v>381.21800000000002</v>
      </c>
      <c r="B38" s="2" t="s">
        <v>13</v>
      </c>
      <c r="C38" t="s">
        <v>118</v>
      </c>
      <c r="D38" t="s">
        <v>27</v>
      </c>
      <c r="E38" t="s">
        <v>117</v>
      </c>
      <c r="F38" t="s">
        <v>310</v>
      </c>
      <c r="G38" s="2" t="s">
        <v>302</v>
      </c>
    </row>
    <row r="39" spans="1:7" x14ac:dyDescent="0.35">
      <c r="A39" s="10">
        <v>389.32600000000002</v>
      </c>
      <c r="B39" s="2" t="s">
        <v>13</v>
      </c>
      <c r="C39" t="s">
        <v>124</v>
      </c>
      <c r="D39" t="s">
        <v>66</v>
      </c>
      <c r="E39" t="s">
        <v>67</v>
      </c>
      <c r="F39" t="s">
        <v>311</v>
      </c>
      <c r="G39" s="2" t="s">
        <v>302</v>
      </c>
    </row>
    <row r="40" spans="1:7" x14ac:dyDescent="0.35">
      <c r="A40" s="10">
        <v>392.678</v>
      </c>
      <c r="B40" s="2" t="s">
        <v>13</v>
      </c>
      <c r="C40" t="s">
        <v>125</v>
      </c>
      <c r="D40" t="s">
        <v>27</v>
      </c>
      <c r="E40" t="s">
        <v>70</v>
      </c>
      <c r="F40" t="s">
        <v>312</v>
      </c>
      <c r="G40" s="2" t="s">
        <v>302</v>
      </c>
    </row>
    <row r="41" spans="1:7" x14ac:dyDescent="0.35">
      <c r="A41" s="10">
        <v>406.089</v>
      </c>
      <c r="B41" s="2" t="s">
        <v>13</v>
      </c>
      <c r="C41" t="s">
        <v>126</v>
      </c>
      <c r="D41" t="s">
        <v>66</v>
      </c>
      <c r="E41" t="s">
        <v>67</v>
      </c>
      <c r="F41" t="s">
        <v>313</v>
      </c>
      <c r="G41" s="2" t="s">
        <v>302</v>
      </c>
    </row>
    <row r="42" spans="1:7" x14ac:dyDescent="0.35">
      <c r="A42" s="10">
        <v>409.74599999999998</v>
      </c>
      <c r="B42" s="2" t="s">
        <v>13</v>
      </c>
      <c r="C42" t="s">
        <v>127</v>
      </c>
      <c r="D42" t="s">
        <v>27</v>
      </c>
      <c r="E42" t="s">
        <v>70</v>
      </c>
      <c r="F42" t="s">
        <v>314</v>
      </c>
      <c r="G42" s="2" t="s">
        <v>302</v>
      </c>
    </row>
    <row r="43" spans="1:7" x14ac:dyDescent="0.35">
      <c r="A43" s="10">
        <v>413.45299999999997</v>
      </c>
      <c r="B43" s="2" t="s">
        <v>13</v>
      </c>
      <c r="C43" t="s">
        <v>128</v>
      </c>
      <c r="D43" t="s">
        <v>66</v>
      </c>
      <c r="E43" t="s">
        <v>67</v>
      </c>
      <c r="F43" t="s">
        <v>315</v>
      </c>
      <c r="G43" s="2" t="s">
        <v>302</v>
      </c>
    </row>
    <row r="44" spans="1:7" x14ac:dyDescent="0.35">
      <c r="A44" s="10">
        <v>417.82100000000003</v>
      </c>
      <c r="B44" s="2" t="s">
        <v>13</v>
      </c>
      <c r="C44" t="s">
        <v>129</v>
      </c>
      <c r="D44" t="s">
        <v>100</v>
      </c>
      <c r="E44" t="s">
        <v>77</v>
      </c>
      <c r="F44" t="s">
        <v>316</v>
      </c>
      <c r="G44" s="2" t="s">
        <v>302</v>
      </c>
    </row>
    <row r="45" spans="1:7" x14ac:dyDescent="0.35">
      <c r="A45" s="10">
        <v>428.327</v>
      </c>
      <c r="B45" s="2" t="s">
        <v>13</v>
      </c>
      <c r="C45" t="s">
        <v>135</v>
      </c>
      <c r="D45" t="s">
        <v>136</v>
      </c>
      <c r="E45" t="s">
        <v>77</v>
      </c>
      <c r="F45" t="s">
        <v>317</v>
      </c>
      <c r="G45" s="2" t="s">
        <v>302</v>
      </c>
    </row>
    <row r="46" spans="1:7" x14ac:dyDescent="0.35">
      <c r="A46" s="10">
        <v>431.14600000000002</v>
      </c>
      <c r="B46" s="2" t="s">
        <v>13</v>
      </c>
      <c r="C46" t="s">
        <v>137</v>
      </c>
      <c r="D46" t="s">
        <v>66</v>
      </c>
      <c r="E46" t="s">
        <v>67</v>
      </c>
      <c r="F46" t="s">
        <v>318</v>
      </c>
      <c r="G46" s="2" t="s">
        <v>302</v>
      </c>
    </row>
    <row r="47" spans="1:7" x14ac:dyDescent="0.35">
      <c r="A47" s="10">
        <v>437.35599999999999</v>
      </c>
      <c r="B47" s="2" t="s">
        <v>13</v>
      </c>
      <c r="C47" t="s">
        <v>138</v>
      </c>
      <c r="D47" t="s">
        <v>66</v>
      </c>
      <c r="E47" t="s">
        <v>67</v>
      </c>
      <c r="F47" t="s">
        <v>319</v>
      </c>
      <c r="G47" s="2" t="s">
        <v>302</v>
      </c>
    </row>
    <row r="48" spans="1:7" x14ac:dyDescent="0.35">
      <c r="A48" s="10">
        <v>444.11200000000002</v>
      </c>
      <c r="B48" s="2" t="s">
        <v>13</v>
      </c>
      <c r="C48" t="s">
        <v>139</v>
      </c>
      <c r="D48" t="s">
        <v>66</v>
      </c>
      <c r="E48" t="s">
        <v>67</v>
      </c>
      <c r="F48" t="s">
        <v>320</v>
      </c>
      <c r="G48" s="2" t="s">
        <v>302</v>
      </c>
    </row>
    <row r="49" spans="1:7" x14ac:dyDescent="0.35">
      <c r="A49" s="10">
        <v>448.69099999999997</v>
      </c>
      <c r="B49" s="2" t="s">
        <v>13</v>
      </c>
      <c r="C49" t="s">
        <v>143</v>
      </c>
      <c r="D49" t="s">
        <v>100</v>
      </c>
      <c r="E49" t="s">
        <v>77</v>
      </c>
      <c r="F49" t="s">
        <v>321</v>
      </c>
      <c r="G49" s="2" t="s">
        <v>302</v>
      </c>
    </row>
    <row r="50" spans="1:7" x14ac:dyDescent="0.35">
      <c r="A50" s="10">
        <v>451.053</v>
      </c>
      <c r="B50" s="2" t="s">
        <v>13</v>
      </c>
      <c r="C50" t="s">
        <v>144</v>
      </c>
      <c r="D50" t="s">
        <v>27</v>
      </c>
      <c r="E50" t="s">
        <v>70</v>
      </c>
      <c r="F50" t="s">
        <v>322</v>
      </c>
      <c r="G50" s="2" t="s">
        <v>302</v>
      </c>
    </row>
    <row r="51" spans="1:7" x14ac:dyDescent="0.35">
      <c r="A51" s="10">
        <v>454.55799999999999</v>
      </c>
      <c r="B51" s="2" t="s">
        <v>13</v>
      </c>
      <c r="C51" t="s">
        <v>145</v>
      </c>
      <c r="D51" t="s">
        <v>27</v>
      </c>
      <c r="E51" t="s">
        <v>146</v>
      </c>
      <c r="F51" t="s">
        <v>323</v>
      </c>
      <c r="G51" s="2" t="s">
        <v>302</v>
      </c>
    </row>
    <row r="52" spans="1:7" x14ac:dyDescent="0.35">
      <c r="A52" s="10">
        <v>458.06299999999999</v>
      </c>
      <c r="B52" s="2" t="s">
        <v>13</v>
      </c>
      <c r="C52" t="s">
        <v>147</v>
      </c>
      <c r="D52" t="s">
        <v>27</v>
      </c>
      <c r="E52" t="s">
        <v>70</v>
      </c>
      <c r="F52" t="s">
        <v>324</v>
      </c>
      <c r="G52" s="2" t="s">
        <v>302</v>
      </c>
    </row>
    <row r="53" spans="1:7" x14ac:dyDescent="0.35">
      <c r="A53" s="10">
        <v>461.56799999999998</v>
      </c>
      <c r="B53" s="2" t="s">
        <v>13</v>
      </c>
      <c r="C53" t="s">
        <v>148</v>
      </c>
      <c r="D53" t="s">
        <v>27</v>
      </c>
      <c r="E53" t="s">
        <v>70</v>
      </c>
      <c r="F53" t="s">
        <v>325</v>
      </c>
      <c r="G53" s="2" t="s">
        <v>302</v>
      </c>
    </row>
    <row r="54" spans="1:7" x14ac:dyDescent="0.35">
      <c r="A54" s="10">
        <v>465.07299999999998</v>
      </c>
      <c r="B54" s="2" t="s">
        <v>13</v>
      </c>
      <c r="C54" t="s">
        <v>149</v>
      </c>
      <c r="D54" t="s">
        <v>27</v>
      </c>
      <c r="E54" t="s">
        <v>70</v>
      </c>
      <c r="F54" t="s">
        <v>326</v>
      </c>
      <c r="G54" s="2" t="s">
        <v>302</v>
      </c>
    </row>
    <row r="55" spans="1:7" x14ac:dyDescent="0.35">
      <c r="A55" s="10">
        <v>477.26499999999999</v>
      </c>
      <c r="B55" s="2" t="s">
        <v>13</v>
      </c>
      <c r="C55" t="s">
        <v>152</v>
      </c>
      <c r="D55" t="s">
        <v>66</v>
      </c>
      <c r="E55" t="s">
        <v>67</v>
      </c>
      <c r="F55" t="s">
        <v>327</v>
      </c>
      <c r="G55" s="2" t="s">
        <v>328</v>
      </c>
    </row>
    <row r="56" spans="1:7" x14ac:dyDescent="0.35">
      <c r="A56" s="10">
        <v>481.51900000000001</v>
      </c>
      <c r="B56" s="2" t="s">
        <v>13</v>
      </c>
      <c r="C56" t="s">
        <v>153</v>
      </c>
      <c r="D56" t="s">
        <v>66</v>
      </c>
      <c r="E56" t="s">
        <v>67</v>
      </c>
      <c r="F56" t="s">
        <v>329</v>
      </c>
      <c r="G56" s="2" t="s">
        <v>328</v>
      </c>
    </row>
    <row r="57" spans="1:7" x14ac:dyDescent="0.35">
      <c r="A57" s="10">
        <v>484.30099999999999</v>
      </c>
      <c r="B57" s="2" t="s">
        <v>13</v>
      </c>
      <c r="C57" t="s">
        <v>154</v>
      </c>
      <c r="D57" t="s">
        <v>100</v>
      </c>
      <c r="E57" t="s">
        <v>77</v>
      </c>
      <c r="F57" t="s">
        <v>330</v>
      </c>
      <c r="G57" s="2" t="s">
        <v>328</v>
      </c>
    </row>
    <row r="58" spans="1:7" x14ac:dyDescent="0.35">
      <c r="A58" s="10">
        <v>485.93900000000002</v>
      </c>
      <c r="B58" s="2" t="s">
        <v>13</v>
      </c>
      <c r="C58" t="s">
        <v>155</v>
      </c>
      <c r="D58" t="s">
        <v>136</v>
      </c>
      <c r="E58" t="s">
        <v>77</v>
      </c>
      <c r="F58" t="s">
        <v>331</v>
      </c>
      <c r="G58" s="2" t="s">
        <v>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>
      <selection activeCell="E35" sqref="E35:E37"/>
    </sheetView>
  </sheetViews>
  <sheetFormatPr defaultRowHeight="14.5" x14ac:dyDescent="0.35"/>
  <cols>
    <col min="1" max="1" width="8.54296875" bestFit="1" customWidth="1"/>
    <col min="3" max="3" width="9.453125" bestFit="1" customWidth="1"/>
    <col min="4" max="4" width="13.1796875" bestFit="1" customWidth="1"/>
    <col min="5" max="5" width="72.453125" bestFit="1" customWidth="1"/>
    <col min="7" max="7" width="23.7265625" bestFit="1" customWidth="1"/>
    <col min="8" max="8" width="59.54296875" bestFit="1" customWidth="1"/>
  </cols>
  <sheetData>
    <row r="1" spans="1:8" x14ac:dyDescent="0.35">
      <c r="A1" s="8" t="s">
        <v>242</v>
      </c>
      <c r="B1" s="8" t="s">
        <v>244</v>
      </c>
      <c r="C1" s="8" t="s">
        <v>214</v>
      </c>
      <c r="D1" s="8" t="s">
        <v>332</v>
      </c>
      <c r="E1" s="8" t="s">
        <v>333</v>
      </c>
      <c r="G1" s="8" t="s">
        <v>457</v>
      </c>
      <c r="H1" s="8" t="s">
        <v>333</v>
      </c>
    </row>
    <row r="2" spans="1:8" x14ac:dyDescent="0.35">
      <c r="A2" s="9" t="s">
        <v>252</v>
      </c>
      <c r="B2" s="9" t="s">
        <v>219</v>
      </c>
      <c r="C2" s="9" t="s">
        <v>219</v>
      </c>
      <c r="D2" s="9" t="s">
        <v>219</v>
      </c>
      <c r="E2" s="9" t="s">
        <v>219</v>
      </c>
      <c r="G2" s="9" t="s">
        <v>219</v>
      </c>
      <c r="H2" s="9" t="s">
        <v>219</v>
      </c>
    </row>
    <row r="3" spans="1:8" x14ac:dyDescent="0.35">
      <c r="A3" s="10">
        <v>0.61</v>
      </c>
      <c r="B3" s="2" t="s">
        <v>16</v>
      </c>
      <c r="C3" s="2" t="s">
        <v>17</v>
      </c>
      <c r="D3" s="2" t="s">
        <v>431</v>
      </c>
      <c r="G3" t="s">
        <v>458</v>
      </c>
      <c r="H3" t="s">
        <v>459</v>
      </c>
    </row>
    <row r="4" spans="1:8" x14ac:dyDescent="0.35">
      <c r="A4" s="10">
        <v>0.91400000000000003</v>
      </c>
      <c r="B4" s="2" t="s">
        <v>18</v>
      </c>
      <c r="C4" s="2" t="s">
        <v>19</v>
      </c>
      <c r="D4" s="2" t="s">
        <v>402</v>
      </c>
      <c r="H4" t="s">
        <v>460</v>
      </c>
    </row>
    <row r="5" spans="1:8" x14ac:dyDescent="0.35">
      <c r="A5" s="10">
        <v>1.2190000000000001</v>
      </c>
      <c r="B5" s="2" t="s">
        <v>20</v>
      </c>
      <c r="C5" s="2" t="s">
        <v>17</v>
      </c>
      <c r="D5" s="2" t="s">
        <v>431</v>
      </c>
    </row>
    <row r="6" spans="1:8" x14ac:dyDescent="0.35">
      <c r="A6" s="10">
        <v>19.658999999999999</v>
      </c>
      <c r="B6" s="2" t="s">
        <v>33</v>
      </c>
      <c r="C6" s="2" t="s">
        <v>19</v>
      </c>
      <c r="D6" s="2" t="s">
        <v>402</v>
      </c>
      <c r="E6" s="20" t="s">
        <v>432</v>
      </c>
    </row>
    <row r="7" spans="1:8" x14ac:dyDescent="0.35">
      <c r="A7" s="10">
        <v>19.658999999999999</v>
      </c>
      <c r="B7" s="2" t="s">
        <v>34</v>
      </c>
      <c r="C7" s="2" t="s">
        <v>35</v>
      </c>
      <c r="D7" s="2" t="s">
        <v>402</v>
      </c>
      <c r="E7" t="s">
        <v>433</v>
      </c>
    </row>
    <row r="8" spans="1:8" x14ac:dyDescent="0.35">
      <c r="A8" s="10">
        <v>64.561999999999998</v>
      </c>
      <c r="B8" s="2" t="s">
        <v>53</v>
      </c>
      <c r="C8" s="2" t="s">
        <v>35</v>
      </c>
      <c r="D8" s="2" t="s">
        <v>402</v>
      </c>
    </row>
    <row r="9" spans="1:8" x14ac:dyDescent="0.35">
      <c r="A9" s="10">
        <v>64.561999999999998</v>
      </c>
      <c r="B9" s="2" t="s">
        <v>54</v>
      </c>
      <c r="C9" s="2" t="s">
        <v>19</v>
      </c>
      <c r="D9" s="2" t="s">
        <v>402</v>
      </c>
    </row>
    <row r="10" spans="1:8" x14ac:dyDescent="0.35">
      <c r="A10" s="10">
        <v>89.378</v>
      </c>
      <c r="B10" s="2" t="s">
        <v>55</v>
      </c>
      <c r="C10" s="2" t="s">
        <v>56</v>
      </c>
      <c r="D10" s="2" t="s">
        <v>402</v>
      </c>
      <c r="E10" s="20" t="s">
        <v>434</v>
      </c>
    </row>
    <row r="11" spans="1:8" x14ac:dyDescent="0.35">
      <c r="A11" s="10">
        <v>89.81</v>
      </c>
      <c r="B11" s="2" t="s">
        <v>55</v>
      </c>
      <c r="C11" s="2" t="s">
        <v>56</v>
      </c>
      <c r="D11" s="2" t="s">
        <v>402</v>
      </c>
      <c r="E11" s="20" t="s">
        <v>435</v>
      </c>
    </row>
    <row r="12" spans="1:8" x14ac:dyDescent="0.35">
      <c r="A12" s="10">
        <v>91.664000000000001</v>
      </c>
      <c r="B12" s="2" t="s">
        <v>55</v>
      </c>
      <c r="C12" s="2" t="s">
        <v>56</v>
      </c>
      <c r="D12" s="2" t="s">
        <v>402</v>
      </c>
      <c r="E12" s="20" t="s">
        <v>436</v>
      </c>
    </row>
    <row r="13" spans="1:8" x14ac:dyDescent="0.35">
      <c r="A13" s="10">
        <v>91.968999999999994</v>
      </c>
      <c r="B13" s="2" t="s">
        <v>55</v>
      </c>
      <c r="C13" s="2" t="s">
        <v>56</v>
      </c>
      <c r="D13" s="2" t="s">
        <v>402</v>
      </c>
      <c r="E13" s="20" t="s">
        <v>437</v>
      </c>
    </row>
    <row r="14" spans="1:8" x14ac:dyDescent="0.35">
      <c r="A14" s="10">
        <v>118.729</v>
      </c>
      <c r="B14" s="2" t="s">
        <v>64</v>
      </c>
      <c r="C14" s="2" t="s">
        <v>19</v>
      </c>
      <c r="D14" s="2" t="s">
        <v>402</v>
      </c>
    </row>
    <row r="15" spans="1:8" x14ac:dyDescent="0.35">
      <c r="A15" s="10">
        <v>177.07900000000001</v>
      </c>
      <c r="B15" s="2" t="s">
        <v>78</v>
      </c>
      <c r="C15" s="2" t="s">
        <v>19</v>
      </c>
      <c r="D15" s="2" t="s">
        <v>402</v>
      </c>
    </row>
    <row r="16" spans="1:8" x14ac:dyDescent="0.35">
      <c r="A16" s="10">
        <v>177.727</v>
      </c>
      <c r="B16" s="2" t="s">
        <v>80</v>
      </c>
      <c r="C16" s="2" t="s">
        <v>17</v>
      </c>
      <c r="D16" s="2" t="s">
        <v>431</v>
      </c>
    </row>
    <row r="17" spans="1:5" x14ac:dyDescent="0.35">
      <c r="A17" s="10">
        <v>236.91499999999999</v>
      </c>
      <c r="B17" s="2" t="s">
        <v>86</v>
      </c>
      <c r="C17" s="2" t="s">
        <v>35</v>
      </c>
      <c r="D17" s="2" t="s">
        <v>402</v>
      </c>
      <c r="E17" t="s">
        <v>461</v>
      </c>
    </row>
    <row r="18" spans="1:5" x14ac:dyDescent="0.35">
      <c r="A18" s="10">
        <v>237.173</v>
      </c>
      <c r="B18" s="2" t="s">
        <v>87</v>
      </c>
      <c r="C18" s="2" t="s">
        <v>19</v>
      </c>
      <c r="D18" s="2" t="s">
        <v>402</v>
      </c>
    </row>
    <row r="19" spans="1:5" x14ac:dyDescent="0.35">
      <c r="A19" s="10">
        <v>237.262</v>
      </c>
      <c r="B19" s="2" t="s">
        <v>88</v>
      </c>
      <c r="C19" s="2" t="s">
        <v>17</v>
      </c>
      <c r="D19" s="2" t="s">
        <v>431</v>
      </c>
    </row>
    <row r="20" spans="1:5" x14ac:dyDescent="0.35">
      <c r="A20" s="10">
        <v>238.38</v>
      </c>
      <c r="B20" s="2" t="s">
        <v>89</v>
      </c>
      <c r="C20" s="2" t="s">
        <v>17</v>
      </c>
      <c r="D20" s="2" t="s">
        <v>431</v>
      </c>
    </row>
    <row r="21" spans="1:5" x14ac:dyDescent="0.35">
      <c r="A21" s="10">
        <v>238.52</v>
      </c>
      <c r="B21" s="2" t="s">
        <v>90</v>
      </c>
      <c r="C21" s="2" t="s">
        <v>19</v>
      </c>
      <c r="D21" s="2" t="s">
        <v>402</v>
      </c>
    </row>
    <row r="22" spans="1:5" x14ac:dyDescent="0.35">
      <c r="A22" s="10">
        <v>277.62099999999998</v>
      </c>
      <c r="B22" s="2" t="s">
        <v>93</v>
      </c>
      <c r="C22" s="2" t="s">
        <v>17</v>
      </c>
      <c r="D22" s="2" t="s">
        <v>431</v>
      </c>
    </row>
    <row r="23" spans="1:5" x14ac:dyDescent="0.35">
      <c r="A23" s="10">
        <v>281.27800000000002</v>
      </c>
      <c r="B23" s="2" t="s">
        <v>55</v>
      </c>
      <c r="C23" s="2" t="s">
        <v>56</v>
      </c>
      <c r="D23" s="2" t="s">
        <v>402</v>
      </c>
      <c r="E23" s="20" t="s">
        <v>438</v>
      </c>
    </row>
    <row r="24" spans="1:5" x14ac:dyDescent="0.35">
      <c r="A24" s="10">
        <v>282.80200000000002</v>
      </c>
      <c r="B24" s="2" t="s">
        <v>55</v>
      </c>
      <c r="C24" s="2" t="s">
        <v>56</v>
      </c>
      <c r="D24" s="2" t="s">
        <v>402</v>
      </c>
      <c r="E24" s="20" t="s">
        <v>439</v>
      </c>
    </row>
    <row r="25" spans="1:5" x14ac:dyDescent="0.35">
      <c r="A25" s="10">
        <v>286.72000000000003</v>
      </c>
      <c r="B25" s="2" t="s">
        <v>98</v>
      </c>
      <c r="C25" s="2" t="s">
        <v>19</v>
      </c>
      <c r="D25" s="2" t="s">
        <v>402</v>
      </c>
    </row>
    <row r="26" spans="1:5" x14ac:dyDescent="0.35">
      <c r="A26" s="10">
        <v>288.142</v>
      </c>
      <c r="B26" s="2" t="s">
        <v>55</v>
      </c>
      <c r="C26" s="2" t="s">
        <v>56</v>
      </c>
      <c r="D26" s="2" t="s">
        <v>402</v>
      </c>
      <c r="E26" s="20" t="s">
        <v>440</v>
      </c>
    </row>
    <row r="27" spans="1:5" x14ac:dyDescent="0.35">
      <c r="A27" s="10">
        <v>291.29199999999997</v>
      </c>
      <c r="B27" s="2" t="s">
        <v>55</v>
      </c>
      <c r="C27" s="2" t="s">
        <v>56</v>
      </c>
      <c r="D27" s="2" t="s">
        <v>402</v>
      </c>
      <c r="E27" s="20" t="s">
        <v>441</v>
      </c>
    </row>
    <row r="28" spans="1:5" x14ac:dyDescent="0.35">
      <c r="A28" s="10">
        <v>291.69799999999998</v>
      </c>
      <c r="B28" s="2" t="s">
        <v>102</v>
      </c>
      <c r="C28" s="2" t="s">
        <v>17</v>
      </c>
      <c r="D28" s="2" t="s">
        <v>431</v>
      </c>
    </row>
    <row r="29" spans="1:5" x14ac:dyDescent="0.35">
      <c r="A29" s="10">
        <v>333.029</v>
      </c>
      <c r="B29" s="2" t="s">
        <v>104</v>
      </c>
      <c r="C29" s="2" t="s">
        <v>19</v>
      </c>
      <c r="D29" s="2" t="s">
        <v>402</v>
      </c>
    </row>
    <row r="30" spans="1:5" x14ac:dyDescent="0.35">
      <c r="A30" s="10">
        <v>333.11799999999999</v>
      </c>
      <c r="B30" s="2" t="s">
        <v>105</v>
      </c>
      <c r="C30" s="2" t="s">
        <v>17</v>
      </c>
      <c r="D30" s="2" t="s">
        <v>431</v>
      </c>
    </row>
    <row r="31" spans="1:5" x14ac:dyDescent="0.35">
      <c r="A31" s="10">
        <v>334.23599999999999</v>
      </c>
      <c r="B31" s="2" t="s">
        <v>106</v>
      </c>
      <c r="C31" s="2" t="s">
        <v>17</v>
      </c>
      <c r="D31" s="2" t="s">
        <v>431</v>
      </c>
    </row>
    <row r="32" spans="1:5" x14ac:dyDescent="0.35">
      <c r="A32" s="10">
        <v>334.37599999999998</v>
      </c>
      <c r="B32" s="2" t="s">
        <v>107</v>
      </c>
      <c r="C32" s="2" t="s">
        <v>19</v>
      </c>
      <c r="D32" s="2" t="s">
        <v>402</v>
      </c>
    </row>
    <row r="33" spans="1:5" x14ac:dyDescent="0.35">
      <c r="A33" s="10">
        <v>349.53199999999998</v>
      </c>
      <c r="B33" s="2" t="s">
        <v>109</v>
      </c>
      <c r="C33" s="2" t="s">
        <v>17</v>
      </c>
      <c r="D33" s="2" t="s">
        <v>431</v>
      </c>
    </row>
    <row r="34" spans="1:5" x14ac:dyDescent="0.35">
      <c r="A34" s="10">
        <v>351.03</v>
      </c>
      <c r="B34" s="2" t="s">
        <v>110</v>
      </c>
      <c r="C34" s="2" t="s">
        <v>19</v>
      </c>
      <c r="D34" s="2" t="s">
        <v>402</v>
      </c>
      <c r="E34" s="20" t="s">
        <v>442</v>
      </c>
    </row>
    <row r="35" spans="1:5" x14ac:dyDescent="0.35">
      <c r="A35" s="10">
        <v>351.33499999999998</v>
      </c>
      <c r="B35" s="2" t="s">
        <v>55</v>
      </c>
      <c r="C35" s="2" t="s">
        <v>56</v>
      </c>
      <c r="D35" s="2" t="s">
        <v>402</v>
      </c>
      <c r="E35" s="20" t="s">
        <v>443</v>
      </c>
    </row>
    <row r="36" spans="1:5" x14ac:dyDescent="0.35">
      <c r="A36" s="10">
        <v>352.72199999999998</v>
      </c>
      <c r="B36" s="2" t="s">
        <v>55</v>
      </c>
      <c r="C36" s="2" t="s">
        <v>56</v>
      </c>
      <c r="D36" s="2" t="s">
        <v>402</v>
      </c>
      <c r="E36" s="20" t="s">
        <v>444</v>
      </c>
    </row>
    <row r="37" spans="1:5" x14ac:dyDescent="0.35">
      <c r="A37" s="10">
        <v>366.41</v>
      </c>
      <c r="B37" s="2" t="s">
        <v>55</v>
      </c>
      <c r="C37" s="2" t="s">
        <v>56</v>
      </c>
      <c r="D37" s="2" t="s">
        <v>402</v>
      </c>
      <c r="E37" s="20" t="s">
        <v>445</v>
      </c>
    </row>
    <row r="38" spans="1:5" x14ac:dyDescent="0.35">
      <c r="A38" s="10">
        <v>366.43599999999998</v>
      </c>
      <c r="B38" s="2" t="s">
        <v>55</v>
      </c>
      <c r="C38" s="2" t="s">
        <v>56</v>
      </c>
      <c r="D38" s="2" t="s">
        <v>402</v>
      </c>
      <c r="E38" s="20" t="s">
        <v>446</v>
      </c>
    </row>
    <row r="39" spans="1:5" x14ac:dyDescent="0.35">
      <c r="A39" s="10">
        <v>383.75700000000001</v>
      </c>
      <c r="B39" s="2" t="s">
        <v>55</v>
      </c>
      <c r="C39" s="2" t="s">
        <v>56</v>
      </c>
      <c r="D39" s="2" t="s">
        <v>402</v>
      </c>
      <c r="E39" s="20" t="s">
        <v>447</v>
      </c>
    </row>
    <row r="40" spans="1:5" x14ac:dyDescent="0.35">
      <c r="A40" s="10">
        <v>385.82100000000003</v>
      </c>
      <c r="B40" s="2" t="s">
        <v>123</v>
      </c>
      <c r="C40" s="2" t="s">
        <v>56</v>
      </c>
      <c r="D40" s="2" t="s">
        <v>402</v>
      </c>
      <c r="E40" s="20" t="s">
        <v>448</v>
      </c>
    </row>
    <row r="41" spans="1:5" x14ac:dyDescent="0.35">
      <c r="A41" s="10">
        <v>427.88200000000001</v>
      </c>
      <c r="B41" s="2" t="s">
        <v>132</v>
      </c>
      <c r="C41" s="2" t="s">
        <v>35</v>
      </c>
      <c r="D41" s="2" t="s">
        <v>402</v>
      </c>
    </row>
    <row r="42" spans="1:5" x14ac:dyDescent="0.35">
      <c r="A42" s="10">
        <v>427.88200000000001</v>
      </c>
      <c r="B42" s="2" t="s">
        <v>133</v>
      </c>
      <c r="C42" s="2" t="s">
        <v>19</v>
      </c>
      <c r="D42" s="2" t="s">
        <v>402</v>
      </c>
      <c r="E42" s="20" t="s">
        <v>449</v>
      </c>
    </row>
    <row r="43" spans="1:5" x14ac:dyDescent="0.35">
      <c r="A43" s="10">
        <v>427.88200000000001</v>
      </c>
      <c r="B43" s="2" t="s">
        <v>134</v>
      </c>
      <c r="C43" s="2" t="s">
        <v>19</v>
      </c>
      <c r="D43" s="2" t="s">
        <v>402</v>
      </c>
      <c r="E43" s="20" t="s">
        <v>450</v>
      </c>
    </row>
    <row r="44" spans="1:5" x14ac:dyDescent="0.35">
      <c r="A44" s="10">
        <v>446.85599999999999</v>
      </c>
      <c r="B44" s="2" t="s">
        <v>55</v>
      </c>
      <c r="C44" s="2" t="s">
        <v>56</v>
      </c>
      <c r="D44" s="2" t="s">
        <v>402</v>
      </c>
      <c r="E44" s="20" t="s">
        <v>451</v>
      </c>
    </row>
    <row r="45" spans="1:5" x14ac:dyDescent="0.35">
      <c r="A45" s="10">
        <v>447.97899999999998</v>
      </c>
      <c r="B45" s="2" t="s">
        <v>55</v>
      </c>
      <c r="C45" s="2" t="s">
        <v>56</v>
      </c>
      <c r="D45" s="2" t="s">
        <v>402</v>
      </c>
      <c r="E45" s="20" t="s">
        <v>452</v>
      </c>
    </row>
    <row r="46" spans="1:5" x14ac:dyDescent="0.35">
      <c r="A46" s="10">
        <v>488.923</v>
      </c>
      <c r="B46" s="2" t="s">
        <v>55</v>
      </c>
      <c r="C46" s="2" t="s">
        <v>56</v>
      </c>
      <c r="D46" s="2" t="s">
        <v>402</v>
      </c>
      <c r="E46" s="20" t="s">
        <v>453</v>
      </c>
    </row>
    <row r="47" spans="1:5" x14ac:dyDescent="0.35">
      <c r="A47" s="10">
        <v>504.214</v>
      </c>
      <c r="B47" s="2" t="s">
        <v>55</v>
      </c>
      <c r="C47" s="2" t="s">
        <v>56</v>
      </c>
      <c r="D47" s="2" t="s">
        <v>402</v>
      </c>
      <c r="E47" s="20" t="s">
        <v>454</v>
      </c>
    </row>
    <row r="48" spans="1:5" x14ac:dyDescent="0.35">
      <c r="A48" s="10">
        <v>521.13400000000001</v>
      </c>
      <c r="B48" s="2" t="s">
        <v>55</v>
      </c>
      <c r="C48" s="2" t="s">
        <v>56</v>
      </c>
      <c r="D48" s="2" t="s">
        <v>402</v>
      </c>
      <c r="E48" s="20" t="s">
        <v>455</v>
      </c>
    </row>
    <row r="49" spans="1:5" x14ac:dyDescent="0.35">
      <c r="A49" s="10">
        <v>521.19500000000005</v>
      </c>
      <c r="B49" s="2" t="s">
        <v>55</v>
      </c>
      <c r="C49" s="2" t="s">
        <v>56</v>
      </c>
      <c r="D49" s="2" t="s">
        <v>402</v>
      </c>
      <c r="E49" s="20" t="s">
        <v>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2"/>
  <sheetViews>
    <sheetView workbookViewId="0">
      <selection activeCell="M4" sqref="M4"/>
    </sheetView>
  </sheetViews>
  <sheetFormatPr defaultRowHeight="14.5" x14ac:dyDescent="0.35"/>
  <cols>
    <col min="1" max="1" width="10.54296875" bestFit="1" customWidth="1"/>
    <col min="2" max="2" width="8.453125" bestFit="1" customWidth="1"/>
    <col min="3" max="3" width="7.453125" bestFit="1" customWidth="1"/>
    <col min="5" max="5" width="13.26953125" bestFit="1" customWidth="1"/>
    <col min="6" max="6" width="22.7265625" style="20" bestFit="1" customWidth="1"/>
    <col min="7" max="7" width="8.453125" bestFit="1" customWidth="1"/>
  </cols>
  <sheetData>
    <row r="1" spans="1:7" x14ac:dyDescent="0.35">
      <c r="A1" s="8" t="s">
        <v>244</v>
      </c>
      <c r="B1" s="8" t="s">
        <v>245</v>
      </c>
      <c r="C1" s="8" t="s">
        <v>214</v>
      </c>
      <c r="D1" s="8"/>
      <c r="E1" s="8" t="s">
        <v>334</v>
      </c>
      <c r="F1" s="8" t="s">
        <v>214</v>
      </c>
      <c r="G1" s="8" t="s">
        <v>271</v>
      </c>
    </row>
    <row r="2" spans="1:7" x14ac:dyDescent="0.35">
      <c r="A2" s="9" t="s">
        <v>219</v>
      </c>
      <c r="B2" s="9" t="s">
        <v>219</v>
      </c>
      <c r="C2" s="9" t="s">
        <v>219</v>
      </c>
      <c r="D2" s="9"/>
      <c r="E2" s="9" t="s">
        <v>219</v>
      </c>
      <c r="F2" s="9" t="s">
        <v>219</v>
      </c>
      <c r="G2" s="9" t="s">
        <v>219</v>
      </c>
    </row>
    <row r="3" spans="1:7" x14ac:dyDescent="0.35">
      <c r="A3" t="s">
        <v>26</v>
      </c>
      <c r="B3" t="s">
        <v>27</v>
      </c>
      <c r="C3" t="s">
        <v>28</v>
      </c>
      <c r="E3" t="s">
        <v>335</v>
      </c>
      <c r="F3" s="20" t="s">
        <v>336</v>
      </c>
      <c r="G3" s="2" t="s">
        <v>337</v>
      </c>
    </row>
    <row r="4" spans="1:7" x14ac:dyDescent="0.35">
      <c r="A4" t="s">
        <v>29</v>
      </c>
      <c r="B4" t="s">
        <v>27</v>
      </c>
      <c r="C4" t="s">
        <v>28</v>
      </c>
      <c r="E4" t="s">
        <v>335</v>
      </c>
      <c r="F4" s="20" t="s">
        <v>336</v>
      </c>
      <c r="G4" s="2" t="s">
        <v>337</v>
      </c>
    </row>
    <row r="5" spans="1:7" x14ac:dyDescent="0.35">
      <c r="A5" t="s">
        <v>30</v>
      </c>
      <c r="B5" t="s">
        <v>27</v>
      </c>
      <c r="C5" t="s">
        <v>28</v>
      </c>
      <c r="E5" t="s">
        <v>335</v>
      </c>
      <c r="F5" s="20" t="s">
        <v>336</v>
      </c>
      <c r="G5" s="2" t="s">
        <v>337</v>
      </c>
    </row>
    <row r="6" spans="1:7" x14ac:dyDescent="0.35">
      <c r="A6" t="s">
        <v>31</v>
      </c>
      <c r="B6" t="s">
        <v>27</v>
      </c>
      <c r="C6" t="s">
        <v>28</v>
      </c>
      <c r="E6" t="s">
        <v>335</v>
      </c>
      <c r="F6" s="20" t="s">
        <v>336</v>
      </c>
      <c r="G6" s="2" t="s">
        <v>337</v>
      </c>
    </row>
    <row r="7" spans="1:7" x14ac:dyDescent="0.35">
      <c r="A7" t="s">
        <v>32</v>
      </c>
      <c r="B7" t="s">
        <v>27</v>
      </c>
      <c r="C7" t="s">
        <v>28</v>
      </c>
      <c r="E7" t="s">
        <v>335</v>
      </c>
      <c r="F7" s="20" t="s">
        <v>336</v>
      </c>
      <c r="G7" s="2" t="s">
        <v>337</v>
      </c>
    </row>
    <row r="8" spans="1:7" x14ac:dyDescent="0.35">
      <c r="A8" t="s">
        <v>36</v>
      </c>
      <c r="B8" t="s">
        <v>27</v>
      </c>
      <c r="C8" t="s">
        <v>28</v>
      </c>
      <c r="E8" t="s">
        <v>335</v>
      </c>
      <c r="F8" s="20" t="s">
        <v>336</v>
      </c>
      <c r="G8" s="2" t="s">
        <v>337</v>
      </c>
    </row>
    <row r="9" spans="1:7" x14ac:dyDescent="0.35">
      <c r="A9" t="s">
        <v>38</v>
      </c>
      <c r="B9" t="s">
        <v>27</v>
      </c>
      <c r="C9" t="s">
        <v>28</v>
      </c>
      <c r="E9" t="s">
        <v>335</v>
      </c>
      <c r="F9" s="20" t="s">
        <v>336</v>
      </c>
      <c r="G9" s="2" t="s">
        <v>337</v>
      </c>
    </row>
    <row r="10" spans="1:7" x14ac:dyDescent="0.35">
      <c r="A10" t="s">
        <v>46</v>
      </c>
      <c r="B10" t="s">
        <v>27</v>
      </c>
      <c r="C10" t="s">
        <v>44</v>
      </c>
      <c r="E10" t="s">
        <v>338</v>
      </c>
      <c r="F10" s="20" t="s">
        <v>339</v>
      </c>
      <c r="G10" s="2" t="s">
        <v>337</v>
      </c>
    </row>
    <row r="11" spans="1:7" x14ac:dyDescent="0.35">
      <c r="A11" t="s">
        <v>47</v>
      </c>
      <c r="B11" t="s">
        <v>27</v>
      </c>
      <c r="C11" t="s">
        <v>44</v>
      </c>
      <c r="E11" t="s">
        <v>338</v>
      </c>
      <c r="F11" s="20" t="s">
        <v>339</v>
      </c>
      <c r="G11" s="2" t="s">
        <v>337</v>
      </c>
    </row>
    <row r="12" spans="1:7" x14ac:dyDescent="0.35">
      <c r="A12" t="s">
        <v>48</v>
      </c>
      <c r="B12" t="s">
        <v>27</v>
      </c>
      <c r="C12" t="s">
        <v>44</v>
      </c>
      <c r="E12" t="s">
        <v>338</v>
      </c>
      <c r="F12" s="20" t="s">
        <v>339</v>
      </c>
      <c r="G12" s="2" t="s">
        <v>337</v>
      </c>
    </row>
    <row r="13" spans="1:7" x14ac:dyDescent="0.35">
      <c r="A13" t="s">
        <v>49</v>
      </c>
      <c r="B13" t="s">
        <v>27</v>
      </c>
      <c r="C13" t="s">
        <v>44</v>
      </c>
      <c r="E13" t="s">
        <v>338</v>
      </c>
      <c r="F13" s="20" t="s">
        <v>339</v>
      </c>
      <c r="G13" s="2" t="s">
        <v>337</v>
      </c>
    </row>
    <row r="14" spans="1:7" x14ac:dyDescent="0.35">
      <c r="A14" t="s">
        <v>50</v>
      </c>
      <c r="B14" t="s">
        <v>27</v>
      </c>
      <c r="C14" t="s">
        <v>44</v>
      </c>
      <c r="E14" t="s">
        <v>338</v>
      </c>
      <c r="F14" s="20" t="s">
        <v>339</v>
      </c>
      <c r="G14" s="2" t="s">
        <v>337</v>
      </c>
    </row>
    <row r="15" spans="1:7" x14ac:dyDescent="0.35">
      <c r="A15" t="s">
        <v>51</v>
      </c>
      <c r="B15" t="s">
        <v>27</v>
      </c>
      <c r="C15" t="s">
        <v>44</v>
      </c>
      <c r="E15" t="s">
        <v>338</v>
      </c>
      <c r="F15" s="20" t="s">
        <v>339</v>
      </c>
      <c r="G15" s="2" t="s">
        <v>337</v>
      </c>
    </row>
    <row r="16" spans="1:7" x14ac:dyDescent="0.35">
      <c r="A16" t="s">
        <v>65</v>
      </c>
      <c r="B16" t="s">
        <v>66</v>
      </c>
      <c r="C16" t="s">
        <v>67</v>
      </c>
      <c r="E16" t="s">
        <v>340</v>
      </c>
      <c r="F16" s="20" t="s">
        <v>341</v>
      </c>
      <c r="G16" s="2" t="s">
        <v>342</v>
      </c>
    </row>
    <row r="17" spans="1:7" x14ac:dyDescent="0.35">
      <c r="A17" t="s">
        <v>68</v>
      </c>
      <c r="B17" t="s">
        <v>66</v>
      </c>
      <c r="C17" t="s">
        <v>67</v>
      </c>
      <c r="E17" t="s">
        <v>343</v>
      </c>
      <c r="F17" s="20" t="s">
        <v>341</v>
      </c>
      <c r="G17" s="2" t="s">
        <v>342</v>
      </c>
    </row>
    <row r="18" spans="1:7" x14ac:dyDescent="0.35">
      <c r="A18" t="s">
        <v>69</v>
      </c>
      <c r="B18" t="s">
        <v>27</v>
      </c>
      <c r="C18" t="s">
        <v>70</v>
      </c>
      <c r="E18" t="s">
        <v>344</v>
      </c>
      <c r="F18" s="20" t="s">
        <v>336</v>
      </c>
      <c r="G18" s="2" t="s">
        <v>342</v>
      </c>
    </row>
    <row r="19" spans="1:7" x14ac:dyDescent="0.35">
      <c r="A19" t="s">
        <v>71</v>
      </c>
      <c r="B19" t="s">
        <v>27</v>
      </c>
      <c r="C19" t="s">
        <v>70</v>
      </c>
      <c r="E19" t="s">
        <v>344</v>
      </c>
      <c r="F19" s="20" t="s">
        <v>336</v>
      </c>
      <c r="G19" s="2" t="s">
        <v>342</v>
      </c>
    </row>
    <row r="20" spans="1:7" x14ac:dyDescent="0.35">
      <c r="A20" t="s">
        <v>72</v>
      </c>
      <c r="B20" t="s">
        <v>27</v>
      </c>
      <c r="C20" t="s">
        <v>73</v>
      </c>
      <c r="E20" t="s">
        <v>345</v>
      </c>
      <c r="F20" s="20" t="s">
        <v>336</v>
      </c>
      <c r="G20" s="2" t="s">
        <v>342</v>
      </c>
    </row>
    <row r="21" spans="1:7" x14ac:dyDescent="0.35">
      <c r="A21" t="s">
        <v>74</v>
      </c>
      <c r="B21" t="s">
        <v>27</v>
      </c>
      <c r="C21" t="s">
        <v>73</v>
      </c>
      <c r="E21" t="s">
        <v>345</v>
      </c>
      <c r="F21" s="20" t="s">
        <v>336</v>
      </c>
      <c r="G21" s="2" t="s">
        <v>342</v>
      </c>
    </row>
    <row r="22" spans="1:7" x14ac:dyDescent="0.35">
      <c r="A22" t="s">
        <v>75</v>
      </c>
      <c r="B22" t="s">
        <v>27</v>
      </c>
      <c r="C22" t="s">
        <v>73</v>
      </c>
      <c r="E22" t="s">
        <v>345</v>
      </c>
      <c r="F22" s="20" t="s">
        <v>336</v>
      </c>
      <c r="G22" s="2" t="s">
        <v>342</v>
      </c>
    </row>
    <row r="23" spans="1:7" x14ac:dyDescent="0.35">
      <c r="A23" t="s">
        <v>76</v>
      </c>
      <c r="B23" t="s">
        <v>27</v>
      </c>
      <c r="C23" t="s">
        <v>77</v>
      </c>
      <c r="E23" t="s">
        <v>346</v>
      </c>
      <c r="F23" s="20" t="s">
        <v>347</v>
      </c>
      <c r="G23" s="2" t="s">
        <v>342</v>
      </c>
    </row>
    <row r="24" spans="1:7" x14ac:dyDescent="0.35">
      <c r="A24" t="s">
        <v>81</v>
      </c>
      <c r="B24" t="s">
        <v>27</v>
      </c>
      <c r="C24" t="s">
        <v>70</v>
      </c>
      <c r="E24" t="s">
        <v>348</v>
      </c>
      <c r="F24" s="20" t="s">
        <v>336</v>
      </c>
      <c r="G24" s="2" t="s">
        <v>342</v>
      </c>
    </row>
    <row r="25" spans="1:7" x14ac:dyDescent="0.35">
      <c r="A25" t="s">
        <v>82</v>
      </c>
      <c r="B25" t="s">
        <v>27</v>
      </c>
      <c r="C25" t="s">
        <v>70</v>
      </c>
      <c r="E25" t="s">
        <v>348</v>
      </c>
      <c r="F25" s="20" t="s">
        <v>336</v>
      </c>
      <c r="G25" s="2" t="s">
        <v>342</v>
      </c>
    </row>
    <row r="26" spans="1:7" x14ac:dyDescent="0.35">
      <c r="A26" t="s">
        <v>83</v>
      </c>
      <c r="B26" t="s">
        <v>27</v>
      </c>
      <c r="C26" t="s">
        <v>70</v>
      </c>
      <c r="E26" t="s">
        <v>348</v>
      </c>
      <c r="F26" s="20" t="s">
        <v>336</v>
      </c>
      <c r="G26" s="2" t="s">
        <v>342</v>
      </c>
    </row>
    <row r="27" spans="1:7" x14ac:dyDescent="0.35">
      <c r="A27" t="s">
        <v>84</v>
      </c>
      <c r="B27" t="s">
        <v>27</v>
      </c>
      <c r="C27" t="s">
        <v>70</v>
      </c>
      <c r="E27" t="s">
        <v>348</v>
      </c>
      <c r="F27" s="20" t="s">
        <v>336</v>
      </c>
      <c r="G27" s="2" t="s">
        <v>342</v>
      </c>
    </row>
    <row r="28" spans="1:7" x14ac:dyDescent="0.35">
      <c r="A28" t="s">
        <v>85</v>
      </c>
      <c r="B28" t="s">
        <v>27</v>
      </c>
      <c r="C28" t="s">
        <v>70</v>
      </c>
      <c r="E28" t="s">
        <v>348</v>
      </c>
      <c r="F28" s="20" t="s">
        <v>336</v>
      </c>
      <c r="G28" s="2" t="s">
        <v>342</v>
      </c>
    </row>
    <row r="29" spans="1:7" x14ac:dyDescent="0.35">
      <c r="A29" t="s">
        <v>94</v>
      </c>
      <c r="B29" t="s">
        <v>66</v>
      </c>
      <c r="C29" t="s">
        <v>95</v>
      </c>
      <c r="E29" t="s">
        <v>349</v>
      </c>
      <c r="F29" s="20" t="s">
        <v>341</v>
      </c>
      <c r="G29" s="2" t="s">
        <v>350</v>
      </c>
    </row>
    <row r="30" spans="1:7" x14ac:dyDescent="0.35">
      <c r="A30" t="s">
        <v>97</v>
      </c>
      <c r="B30" t="s">
        <v>66</v>
      </c>
      <c r="C30" t="s">
        <v>95</v>
      </c>
      <c r="E30" t="s">
        <v>351</v>
      </c>
      <c r="F30" s="20" t="s">
        <v>341</v>
      </c>
      <c r="G30" s="2" t="s">
        <v>350</v>
      </c>
    </row>
    <row r="31" spans="1:7" x14ac:dyDescent="0.35">
      <c r="A31" t="s">
        <v>99</v>
      </c>
      <c r="B31" t="s">
        <v>100</v>
      </c>
      <c r="C31" t="s">
        <v>101</v>
      </c>
      <c r="E31" t="s">
        <v>352</v>
      </c>
      <c r="F31" s="20" t="s">
        <v>347</v>
      </c>
      <c r="G31" s="2" t="s">
        <v>350</v>
      </c>
    </row>
    <row r="32" spans="1:7" x14ac:dyDescent="0.35">
      <c r="A32" t="s">
        <v>112</v>
      </c>
      <c r="B32" t="s">
        <v>43</v>
      </c>
      <c r="C32" t="s">
        <v>70</v>
      </c>
      <c r="E32" t="s">
        <v>353</v>
      </c>
      <c r="F32" s="20" t="s">
        <v>336</v>
      </c>
      <c r="G32" s="2" t="s">
        <v>350</v>
      </c>
    </row>
    <row r="33" spans="1:7" x14ac:dyDescent="0.35">
      <c r="A33" t="s">
        <v>113</v>
      </c>
      <c r="B33" t="s">
        <v>66</v>
      </c>
      <c r="C33" t="s">
        <v>95</v>
      </c>
      <c r="E33" t="s">
        <v>354</v>
      </c>
      <c r="F33" s="20" t="s">
        <v>341</v>
      </c>
      <c r="G33" s="2" t="s">
        <v>350</v>
      </c>
    </row>
    <row r="34" spans="1:7" x14ac:dyDescent="0.35">
      <c r="A34" t="s">
        <v>114</v>
      </c>
      <c r="B34" t="s">
        <v>66</v>
      </c>
      <c r="C34" t="s">
        <v>95</v>
      </c>
      <c r="E34" t="s">
        <v>355</v>
      </c>
      <c r="F34" s="20" t="s">
        <v>341</v>
      </c>
      <c r="G34" s="2" t="s">
        <v>350</v>
      </c>
    </row>
    <row r="35" spans="1:7" x14ac:dyDescent="0.35">
      <c r="A35" t="s">
        <v>115</v>
      </c>
      <c r="B35" t="s">
        <v>27</v>
      </c>
      <c r="C35" t="s">
        <v>70</v>
      </c>
      <c r="E35" t="s">
        <v>356</v>
      </c>
      <c r="F35" s="20" t="s">
        <v>336</v>
      </c>
      <c r="G35" s="2" t="s">
        <v>350</v>
      </c>
    </row>
    <row r="36" spans="1:7" x14ac:dyDescent="0.35">
      <c r="A36" t="s">
        <v>116</v>
      </c>
      <c r="B36" t="s">
        <v>27</v>
      </c>
      <c r="C36" t="s">
        <v>117</v>
      </c>
      <c r="E36" t="s">
        <v>357</v>
      </c>
      <c r="F36" s="20" t="s">
        <v>339</v>
      </c>
      <c r="G36" s="2" t="s">
        <v>350</v>
      </c>
    </row>
    <row r="37" spans="1:7" x14ac:dyDescent="0.35">
      <c r="A37" t="s">
        <v>118</v>
      </c>
      <c r="B37" t="s">
        <v>27</v>
      </c>
      <c r="C37" t="s">
        <v>117</v>
      </c>
      <c r="E37" t="s">
        <v>357</v>
      </c>
      <c r="F37" s="20" t="s">
        <v>339</v>
      </c>
      <c r="G37" s="2" t="s">
        <v>350</v>
      </c>
    </row>
    <row r="38" spans="1:7" x14ac:dyDescent="0.35">
      <c r="A38" t="s">
        <v>124</v>
      </c>
      <c r="B38" t="s">
        <v>66</v>
      </c>
      <c r="C38" t="s">
        <v>67</v>
      </c>
      <c r="E38" t="s">
        <v>358</v>
      </c>
      <c r="F38" s="20" t="s">
        <v>341</v>
      </c>
      <c r="G38" s="2" t="s">
        <v>350</v>
      </c>
    </row>
    <row r="39" spans="1:7" x14ac:dyDescent="0.35">
      <c r="A39" t="s">
        <v>124</v>
      </c>
      <c r="B39" t="s">
        <v>66</v>
      </c>
      <c r="C39" t="s">
        <v>67</v>
      </c>
      <c r="E39" t="s">
        <v>359</v>
      </c>
      <c r="F39" s="20" t="s">
        <v>360</v>
      </c>
      <c r="G39" s="2" t="s">
        <v>350</v>
      </c>
    </row>
    <row r="40" spans="1:7" x14ac:dyDescent="0.35">
      <c r="A40" t="s">
        <v>125</v>
      </c>
      <c r="B40" t="s">
        <v>27</v>
      </c>
      <c r="C40" t="s">
        <v>70</v>
      </c>
      <c r="E40" t="s">
        <v>361</v>
      </c>
      <c r="F40" s="20" t="s">
        <v>336</v>
      </c>
      <c r="G40" s="2" t="s">
        <v>350</v>
      </c>
    </row>
    <row r="41" spans="1:7" x14ac:dyDescent="0.35">
      <c r="A41" t="s">
        <v>125</v>
      </c>
      <c r="B41" t="s">
        <v>27</v>
      </c>
      <c r="C41" t="s">
        <v>70</v>
      </c>
      <c r="E41" t="s">
        <v>362</v>
      </c>
      <c r="F41" s="20" t="s">
        <v>363</v>
      </c>
      <c r="G41" s="2" t="s">
        <v>350</v>
      </c>
    </row>
    <row r="42" spans="1:7" x14ac:dyDescent="0.35">
      <c r="A42" t="s">
        <v>126</v>
      </c>
      <c r="B42" t="s">
        <v>66</v>
      </c>
      <c r="C42" t="s">
        <v>67</v>
      </c>
      <c r="E42" t="s">
        <v>364</v>
      </c>
      <c r="F42" s="20" t="s">
        <v>341</v>
      </c>
      <c r="G42" s="2" t="s">
        <v>350</v>
      </c>
    </row>
    <row r="43" spans="1:7" x14ac:dyDescent="0.35">
      <c r="A43" t="s">
        <v>126</v>
      </c>
      <c r="B43" t="s">
        <v>66</v>
      </c>
      <c r="C43" t="s">
        <v>67</v>
      </c>
      <c r="E43" t="s">
        <v>365</v>
      </c>
      <c r="F43" s="20" t="s">
        <v>366</v>
      </c>
      <c r="G43" s="2" t="s">
        <v>350</v>
      </c>
    </row>
    <row r="44" spans="1:7" x14ac:dyDescent="0.35">
      <c r="A44" t="s">
        <v>127</v>
      </c>
      <c r="B44" t="s">
        <v>27</v>
      </c>
      <c r="C44" t="s">
        <v>70</v>
      </c>
      <c r="E44" t="s">
        <v>361</v>
      </c>
      <c r="F44" s="20" t="s">
        <v>336</v>
      </c>
      <c r="G44" s="2" t="s">
        <v>350</v>
      </c>
    </row>
    <row r="45" spans="1:7" x14ac:dyDescent="0.35">
      <c r="A45" t="s">
        <v>127</v>
      </c>
      <c r="B45" t="s">
        <v>27</v>
      </c>
      <c r="C45" t="s">
        <v>70</v>
      </c>
      <c r="E45" t="s">
        <v>362</v>
      </c>
      <c r="F45" s="20" t="s">
        <v>363</v>
      </c>
      <c r="G45" s="2" t="s">
        <v>350</v>
      </c>
    </row>
    <row r="46" spans="1:7" x14ac:dyDescent="0.35">
      <c r="A46" t="s">
        <v>128</v>
      </c>
      <c r="B46" t="s">
        <v>66</v>
      </c>
      <c r="C46" t="s">
        <v>67</v>
      </c>
      <c r="E46" t="s">
        <v>367</v>
      </c>
      <c r="F46" s="20" t="s">
        <v>341</v>
      </c>
      <c r="G46" s="2" t="s">
        <v>350</v>
      </c>
    </row>
    <row r="47" spans="1:7" x14ac:dyDescent="0.35">
      <c r="A47" t="s">
        <v>128</v>
      </c>
      <c r="B47" t="s">
        <v>66</v>
      </c>
      <c r="C47" t="s">
        <v>67</v>
      </c>
      <c r="E47" t="s">
        <v>368</v>
      </c>
      <c r="F47" s="20" t="s">
        <v>366</v>
      </c>
      <c r="G47" s="2" t="s">
        <v>350</v>
      </c>
    </row>
    <row r="48" spans="1:7" x14ac:dyDescent="0.35">
      <c r="A48" t="s">
        <v>129</v>
      </c>
      <c r="B48" t="s">
        <v>100</v>
      </c>
      <c r="C48" t="s">
        <v>77</v>
      </c>
      <c r="E48" t="s">
        <v>369</v>
      </c>
      <c r="F48" s="20" t="s">
        <v>347</v>
      </c>
      <c r="G48" s="2" t="s">
        <v>350</v>
      </c>
    </row>
    <row r="49" spans="1:7" x14ac:dyDescent="0.35">
      <c r="A49" t="s">
        <v>135</v>
      </c>
      <c r="B49" t="s">
        <v>136</v>
      </c>
      <c r="C49" t="s">
        <v>77</v>
      </c>
      <c r="E49" t="s">
        <v>370</v>
      </c>
      <c r="F49" s="20" t="s">
        <v>347</v>
      </c>
      <c r="G49" s="2" t="s">
        <v>350</v>
      </c>
    </row>
    <row r="50" spans="1:7" x14ac:dyDescent="0.35">
      <c r="A50" t="s">
        <v>137</v>
      </c>
      <c r="B50" t="s">
        <v>66</v>
      </c>
      <c r="C50" t="s">
        <v>67</v>
      </c>
      <c r="E50" t="s">
        <v>371</v>
      </c>
      <c r="F50" s="20" t="s">
        <v>372</v>
      </c>
      <c r="G50" s="2" t="s">
        <v>350</v>
      </c>
    </row>
    <row r="51" spans="1:7" x14ac:dyDescent="0.35">
      <c r="A51" t="s">
        <v>137</v>
      </c>
      <c r="B51" t="s">
        <v>66</v>
      </c>
      <c r="C51" t="s">
        <v>67</v>
      </c>
      <c r="E51" t="s">
        <v>373</v>
      </c>
      <c r="F51" s="20" t="s">
        <v>366</v>
      </c>
      <c r="G51" s="2" t="s">
        <v>350</v>
      </c>
    </row>
    <row r="52" spans="1:7" x14ac:dyDescent="0.35">
      <c r="A52" t="s">
        <v>138</v>
      </c>
      <c r="B52" t="s">
        <v>66</v>
      </c>
      <c r="C52" t="s">
        <v>67</v>
      </c>
      <c r="E52" t="s">
        <v>374</v>
      </c>
      <c r="F52" s="20" t="s">
        <v>372</v>
      </c>
      <c r="G52" s="2" t="s">
        <v>350</v>
      </c>
    </row>
    <row r="53" spans="1:7" x14ac:dyDescent="0.35">
      <c r="A53" t="s">
        <v>138</v>
      </c>
      <c r="B53" t="s">
        <v>66</v>
      </c>
      <c r="C53" t="s">
        <v>67</v>
      </c>
      <c r="E53" t="s">
        <v>375</v>
      </c>
      <c r="F53" s="20" t="s">
        <v>366</v>
      </c>
      <c r="G53" s="2" t="s">
        <v>350</v>
      </c>
    </row>
    <row r="54" spans="1:7" x14ac:dyDescent="0.35">
      <c r="A54" t="s">
        <v>139</v>
      </c>
      <c r="B54" t="s">
        <v>66</v>
      </c>
      <c r="C54" t="s">
        <v>67</v>
      </c>
      <c r="E54" t="s">
        <v>376</v>
      </c>
      <c r="F54" s="20" t="s">
        <v>341</v>
      </c>
      <c r="G54" s="2" t="s">
        <v>377</v>
      </c>
    </row>
    <row r="55" spans="1:7" x14ac:dyDescent="0.35">
      <c r="A55" t="s">
        <v>139</v>
      </c>
      <c r="B55" t="s">
        <v>66</v>
      </c>
      <c r="C55" t="s">
        <v>67</v>
      </c>
      <c r="E55" t="s">
        <v>378</v>
      </c>
      <c r="F55" s="20" t="s">
        <v>366</v>
      </c>
      <c r="G55" s="2" t="s">
        <v>377</v>
      </c>
    </row>
    <row r="56" spans="1:7" x14ac:dyDescent="0.35">
      <c r="A56" t="s">
        <v>143</v>
      </c>
      <c r="B56" t="s">
        <v>100</v>
      </c>
      <c r="C56" t="s">
        <v>77</v>
      </c>
      <c r="E56" t="s">
        <v>379</v>
      </c>
      <c r="F56" s="20" t="s">
        <v>347</v>
      </c>
      <c r="G56" s="2" t="s">
        <v>377</v>
      </c>
    </row>
    <row r="57" spans="1:7" x14ac:dyDescent="0.35">
      <c r="A57" t="s">
        <v>144</v>
      </c>
      <c r="B57" t="s">
        <v>27</v>
      </c>
      <c r="C57" t="s">
        <v>70</v>
      </c>
      <c r="E57" t="s">
        <v>380</v>
      </c>
      <c r="F57" s="20" t="s">
        <v>336</v>
      </c>
      <c r="G57" s="2" t="s">
        <v>377</v>
      </c>
    </row>
    <row r="58" spans="1:7" x14ac:dyDescent="0.35">
      <c r="A58" t="s">
        <v>144</v>
      </c>
      <c r="B58" t="s">
        <v>27</v>
      </c>
      <c r="C58" t="s">
        <v>70</v>
      </c>
      <c r="E58" t="s">
        <v>381</v>
      </c>
      <c r="F58" s="20" t="s">
        <v>363</v>
      </c>
      <c r="G58" s="2" t="s">
        <v>377</v>
      </c>
    </row>
    <row r="59" spans="1:7" x14ac:dyDescent="0.35">
      <c r="A59" t="s">
        <v>145</v>
      </c>
      <c r="B59" t="s">
        <v>27</v>
      </c>
      <c r="C59" t="s">
        <v>146</v>
      </c>
      <c r="E59" t="s">
        <v>380</v>
      </c>
      <c r="F59" s="20" t="s">
        <v>336</v>
      </c>
      <c r="G59" s="2" t="s">
        <v>377</v>
      </c>
    </row>
    <row r="60" spans="1:7" x14ac:dyDescent="0.35">
      <c r="A60" t="s">
        <v>145</v>
      </c>
      <c r="B60" t="s">
        <v>27</v>
      </c>
      <c r="C60" t="s">
        <v>146</v>
      </c>
      <c r="E60" t="s">
        <v>381</v>
      </c>
      <c r="F60" s="20" t="s">
        <v>363</v>
      </c>
      <c r="G60" s="2" t="s">
        <v>377</v>
      </c>
    </row>
    <row r="61" spans="1:7" x14ac:dyDescent="0.35">
      <c r="A61" t="s">
        <v>147</v>
      </c>
      <c r="B61" t="s">
        <v>27</v>
      </c>
      <c r="C61" t="s">
        <v>70</v>
      </c>
      <c r="E61" t="s">
        <v>380</v>
      </c>
      <c r="F61" s="20" t="s">
        <v>336</v>
      </c>
      <c r="G61" s="2" t="s">
        <v>377</v>
      </c>
    </row>
    <row r="62" spans="1:7" x14ac:dyDescent="0.35">
      <c r="A62" t="s">
        <v>147</v>
      </c>
      <c r="B62" t="s">
        <v>27</v>
      </c>
      <c r="C62" t="s">
        <v>70</v>
      </c>
      <c r="E62" t="s">
        <v>381</v>
      </c>
      <c r="F62" s="20" t="s">
        <v>363</v>
      </c>
      <c r="G62" s="2" t="s">
        <v>377</v>
      </c>
    </row>
    <row r="63" spans="1:7" x14ac:dyDescent="0.35">
      <c r="A63" t="s">
        <v>148</v>
      </c>
      <c r="B63" t="s">
        <v>27</v>
      </c>
      <c r="C63" t="s">
        <v>70</v>
      </c>
      <c r="E63" t="s">
        <v>380</v>
      </c>
      <c r="F63" s="20" t="s">
        <v>336</v>
      </c>
      <c r="G63" s="2" t="s">
        <v>377</v>
      </c>
    </row>
    <row r="64" spans="1:7" x14ac:dyDescent="0.35">
      <c r="A64" t="s">
        <v>148</v>
      </c>
      <c r="B64" t="s">
        <v>27</v>
      </c>
      <c r="C64" t="s">
        <v>70</v>
      </c>
      <c r="E64" t="s">
        <v>381</v>
      </c>
      <c r="F64" s="20" t="s">
        <v>363</v>
      </c>
      <c r="G64" s="2" t="s">
        <v>377</v>
      </c>
    </row>
    <row r="65" spans="1:7" x14ac:dyDescent="0.35">
      <c r="A65" t="s">
        <v>149</v>
      </c>
      <c r="B65" t="s">
        <v>27</v>
      </c>
      <c r="C65" t="s">
        <v>70</v>
      </c>
      <c r="E65" t="s">
        <v>380</v>
      </c>
      <c r="F65" s="20" t="s">
        <v>336</v>
      </c>
      <c r="G65" s="2" t="s">
        <v>377</v>
      </c>
    </row>
    <row r="66" spans="1:7" x14ac:dyDescent="0.35">
      <c r="A66" t="s">
        <v>149</v>
      </c>
      <c r="B66" t="s">
        <v>27</v>
      </c>
      <c r="C66" t="s">
        <v>70</v>
      </c>
      <c r="E66" t="s">
        <v>381</v>
      </c>
      <c r="F66" s="20" t="s">
        <v>363</v>
      </c>
      <c r="G66" s="2" t="s">
        <v>377</v>
      </c>
    </row>
    <row r="67" spans="1:7" x14ac:dyDescent="0.35">
      <c r="A67" t="s">
        <v>152</v>
      </c>
      <c r="B67" t="s">
        <v>66</v>
      </c>
      <c r="C67" t="s">
        <v>67</v>
      </c>
      <c r="E67" t="s">
        <v>382</v>
      </c>
      <c r="F67" s="20" t="s">
        <v>341</v>
      </c>
      <c r="G67" s="2" t="s">
        <v>377</v>
      </c>
    </row>
    <row r="68" spans="1:7" x14ac:dyDescent="0.35">
      <c r="A68" t="s">
        <v>152</v>
      </c>
      <c r="B68" t="s">
        <v>66</v>
      </c>
      <c r="C68" t="s">
        <v>67</v>
      </c>
      <c r="E68" t="s">
        <v>383</v>
      </c>
      <c r="F68" s="20" t="s">
        <v>366</v>
      </c>
      <c r="G68" s="2" t="s">
        <v>377</v>
      </c>
    </row>
    <row r="69" spans="1:7" x14ac:dyDescent="0.35">
      <c r="A69" t="s">
        <v>153</v>
      </c>
      <c r="B69" t="s">
        <v>66</v>
      </c>
      <c r="C69" t="s">
        <v>67</v>
      </c>
      <c r="E69" t="s">
        <v>384</v>
      </c>
      <c r="F69" s="20" t="s">
        <v>341</v>
      </c>
      <c r="G69" s="2" t="s">
        <v>377</v>
      </c>
    </row>
    <row r="70" spans="1:7" x14ac:dyDescent="0.35">
      <c r="A70" t="s">
        <v>153</v>
      </c>
      <c r="B70" t="s">
        <v>66</v>
      </c>
      <c r="C70" t="s">
        <v>67</v>
      </c>
      <c r="E70" t="s">
        <v>385</v>
      </c>
      <c r="F70" s="20" t="s">
        <v>366</v>
      </c>
      <c r="G70" s="2" t="s">
        <v>377</v>
      </c>
    </row>
    <row r="71" spans="1:7" x14ac:dyDescent="0.35">
      <c r="A71" t="s">
        <v>154</v>
      </c>
      <c r="B71" t="s">
        <v>100</v>
      </c>
      <c r="C71" t="s">
        <v>77</v>
      </c>
      <c r="E71" t="s">
        <v>386</v>
      </c>
      <c r="F71" s="20" t="s">
        <v>347</v>
      </c>
      <c r="G71" s="2" t="s">
        <v>377</v>
      </c>
    </row>
    <row r="72" spans="1:7" x14ac:dyDescent="0.35">
      <c r="A72" t="s">
        <v>155</v>
      </c>
      <c r="B72" t="s">
        <v>136</v>
      </c>
      <c r="C72" t="s">
        <v>77</v>
      </c>
      <c r="E72" t="s">
        <v>387</v>
      </c>
      <c r="F72" s="20" t="s">
        <v>347</v>
      </c>
      <c r="G72" s="2" t="s">
        <v>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8"/>
  <sheetViews>
    <sheetView workbookViewId="0">
      <selection activeCell="J40" sqref="J40"/>
    </sheetView>
  </sheetViews>
  <sheetFormatPr defaultRowHeight="14.5" x14ac:dyDescent="0.35"/>
  <cols>
    <col min="1" max="1" width="11" bestFit="1" customWidth="1"/>
    <col min="10" max="10" width="12.453125" bestFit="1" customWidth="1"/>
    <col min="11" max="11" width="16.54296875" bestFit="1" customWidth="1"/>
    <col min="14" max="14" width="11.453125" bestFit="1" customWidth="1"/>
    <col min="15" max="15" width="15.54296875" bestFit="1" customWidth="1"/>
    <col min="16" max="16" width="25.26953125" bestFit="1" customWidth="1"/>
  </cols>
  <sheetData>
    <row r="1" spans="1:16" x14ac:dyDescent="0.35">
      <c r="A1" s="8" t="s">
        <v>388</v>
      </c>
      <c r="B1" s="8"/>
      <c r="C1" s="8"/>
      <c r="D1" s="16"/>
      <c r="E1" s="16"/>
      <c r="F1" s="16"/>
      <c r="G1" s="16"/>
      <c r="H1" s="8"/>
      <c r="I1" s="8" t="s">
        <v>389</v>
      </c>
      <c r="J1" s="8" t="s">
        <v>390</v>
      </c>
      <c r="K1" s="8" t="s">
        <v>391</v>
      </c>
      <c r="L1" s="8"/>
      <c r="M1" s="8" t="s">
        <v>392</v>
      </c>
      <c r="N1" s="8" t="s">
        <v>393</v>
      </c>
      <c r="O1" s="8" t="s">
        <v>394</v>
      </c>
      <c r="P1" s="8"/>
    </row>
    <row r="2" spans="1:16" x14ac:dyDescent="0.35">
      <c r="A2" s="17" t="s">
        <v>244</v>
      </c>
      <c r="B2" s="17" t="s">
        <v>245</v>
      </c>
      <c r="C2" s="17" t="s">
        <v>214</v>
      </c>
      <c r="D2" s="18" t="s">
        <v>246</v>
      </c>
      <c r="E2" s="18" t="s">
        <v>247</v>
      </c>
      <c r="F2" s="18" t="s">
        <v>248</v>
      </c>
      <c r="G2" s="18" t="s">
        <v>242</v>
      </c>
      <c r="H2" s="17"/>
      <c r="I2" s="17" t="s">
        <v>395</v>
      </c>
      <c r="J2" s="17" t="s">
        <v>214</v>
      </c>
      <c r="K2" s="17" t="s">
        <v>214</v>
      </c>
      <c r="L2" s="17" t="s">
        <v>396</v>
      </c>
      <c r="M2" s="17" t="s">
        <v>214</v>
      </c>
      <c r="N2" s="17" t="s">
        <v>397</v>
      </c>
      <c r="O2" s="17" t="s">
        <v>271</v>
      </c>
      <c r="P2" s="17" t="s">
        <v>333</v>
      </c>
    </row>
    <row r="3" spans="1:16" x14ac:dyDescent="0.35">
      <c r="A3" s="9" t="s">
        <v>219</v>
      </c>
      <c r="B3" s="9" t="s">
        <v>219</v>
      </c>
      <c r="C3" s="9" t="s">
        <v>219</v>
      </c>
      <c r="D3" s="19" t="s">
        <v>252</v>
      </c>
      <c r="E3" s="19" t="s">
        <v>252</v>
      </c>
      <c r="F3" s="19" t="s">
        <v>252</v>
      </c>
      <c r="G3" s="19" t="s">
        <v>252</v>
      </c>
      <c r="H3" s="9"/>
      <c r="I3" s="9"/>
      <c r="J3" s="9"/>
      <c r="K3" s="9" t="s">
        <v>398</v>
      </c>
      <c r="L3" s="9" t="s">
        <v>399</v>
      </c>
      <c r="M3" s="9"/>
      <c r="N3" s="9"/>
      <c r="O3" s="9"/>
      <c r="P3" s="9"/>
    </row>
    <row r="4" spans="1:16" x14ac:dyDescent="0.35">
      <c r="A4" t="s">
        <v>21</v>
      </c>
      <c r="B4" t="s">
        <v>11</v>
      </c>
      <c r="C4" s="2" t="s">
        <v>22</v>
      </c>
      <c r="D4" s="10">
        <v>0</v>
      </c>
      <c r="E4" s="10">
        <v>0</v>
      </c>
      <c r="F4" s="10">
        <v>3.6572</v>
      </c>
      <c r="G4" s="10">
        <v>3.657</v>
      </c>
      <c r="I4" s="2" t="s">
        <v>337</v>
      </c>
      <c r="J4" s="2" t="s">
        <v>403</v>
      </c>
      <c r="K4" s="2" t="s">
        <v>402</v>
      </c>
      <c r="L4" s="2" t="s">
        <v>402</v>
      </c>
      <c r="M4" s="2" t="s">
        <v>402</v>
      </c>
      <c r="N4" s="2" t="s">
        <v>408</v>
      </c>
      <c r="O4" s="2" t="s">
        <v>337</v>
      </c>
    </row>
    <row r="5" spans="1:16" x14ac:dyDescent="0.35">
      <c r="A5" t="s">
        <v>23</v>
      </c>
      <c r="B5" t="s">
        <v>11</v>
      </c>
      <c r="C5" s="2" t="s">
        <v>24</v>
      </c>
      <c r="D5" s="10">
        <v>0</v>
      </c>
      <c r="E5" s="10">
        <v>0</v>
      </c>
      <c r="F5" s="10">
        <v>3.6572</v>
      </c>
      <c r="G5" s="10">
        <v>3.657</v>
      </c>
      <c r="I5" s="2" t="s">
        <v>337</v>
      </c>
      <c r="J5" s="2" t="s">
        <v>402</v>
      </c>
      <c r="K5" s="2" t="s">
        <v>24</v>
      </c>
      <c r="L5" s="2">
        <v>2</v>
      </c>
      <c r="M5" s="2" t="s">
        <v>406</v>
      </c>
      <c r="N5" s="2" t="s">
        <v>409</v>
      </c>
      <c r="O5" s="2" t="s">
        <v>337</v>
      </c>
    </row>
    <row r="6" spans="1:16" x14ac:dyDescent="0.35">
      <c r="A6" t="s">
        <v>25</v>
      </c>
      <c r="B6" t="s">
        <v>11</v>
      </c>
      <c r="C6" s="2" t="s">
        <v>22</v>
      </c>
      <c r="D6" s="10">
        <v>0</v>
      </c>
      <c r="E6" s="10">
        <v>0</v>
      </c>
      <c r="F6" s="10">
        <v>3.9112</v>
      </c>
      <c r="G6" s="10">
        <v>3.911</v>
      </c>
      <c r="I6" s="2" t="s">
        <v>337</v>
      </c>
      <c r="J6" s="2" t="s">
        <v>401</v>
      </c>
      <c r="K6" s="2" t="s">
        <v>402</v>
      </c>
      <c r="L6" s="2" t="s">
        <v>402</v>
      </c>
      <c r="M6" s="2" t="s">
        <v>402</v>
      </c>
      <c r="N6" s="2" t="s">
        <v>408</v>
      </c>
      <c r="O6" s="2" t="s">
        <v>337</v>
      </c>
    </row>
    <row r="7" spans="1:16" x14ac:dyDescent="0.35">
      <c r="A7" t="s">
        <v>37</v>
      </c>
      <c r="B7" t="s">
        <v>11</v>
      </c>
      <c r="C7" s="2" t="s">
        <v>22</v>
      </c>
      <c r="D7" s="10">
        <v>0</v>
      </c>
      <c r="E7" s="10">
        <v>0</v>
      </c>
      <c r="F7" s="10">
        <v>22.808700000000002</v>
      </c>
      <c r="G7" s="10">
        <v>22.809000000000001</v>
      </c>
      <c r="I7" s="2" t="s">
        <v>337</v>
      </c>
      <c r="J7" s="2" t="s">
        <v>401</v>
      </c>
      <c r="K7" s="2" t="s">
        <v>402</v>
      </c>
      <c r="L7" s="2" t="s">
        <v>402</v>
      </c>
      <c r="M7" s="2" t="s">
        <v>402</v>
      </c>
      <c r="N7" s="2" t="s">
        <v>408</v>
      </c>
      <c r="O7" s="2" t="s">
        <v>337</v>
      </c>
    </row>
    <row r="8" spans="1:16" x14ac:dyDescent="0.35">
      <c r="A8" t="s">
        <v>39</v>
      </c>
      <c r="B8" t="s">
        <v>11</v>
      </c>
      <c r="C8" s="2" t="s">
        <v>24</v>
      </c>
      <c r="D8" s="10">
        <v>0</v>
      </c>
      <c r="E8" s="10">
        <v>0</v>
      </c>
      <c r="F8" s="10">
        <v>25.958300000000001</v>
      </c>
      <c r="G8" s="10">
        <v>25.957999999999998</v>
      </c>
      <c r="I8" s="2" t="s">
        <v>337</v>
      </c>
      <c r="J8" s="2" t="s">
        <v>402</v>
      </c>
      <c r="K8" s="2" t="s">
        <v>24</v>
      </c>
      <c r="L8" s="2">
        <v>2</v>
      </c>
      <c r="M8" s="2" t="s">
        <v>406</v>
      </c>
      <c r="N8" s="2" t="s">
        <v>410</v>
      </c>
      <c r="O8" s="2" t="s">
        <v>337</v>
      </c>
    </row>
    <row r="9" spans="1:16" x14ac:dyDescent="0.35">
      <c r="A9" t="s">
        <v>40</v>
      </c>
      <c r="B9" t="s">
        <v>11</v>
      </c>
      <c r="C9" s="2" t="s">
        <v>22</v>
      </c>
      <c r="D9" s="10">
        <v>0</v>
      </c>
      <c r="E9" s="10">
        <v>0</v>
      </c>
      <c r="F9" s="10">
        <v>26.212299999999999</v>
      </c>
      <c r="G9" s="10">
        <v>26.212</v>
      </c>
      <c r="I9" s="2" t="s">
        <v>337</v>
      </c>
      <c r="J9" s="2" t="s">
        <v>401</v>
      </c>
      <c r="K9" s="2" t="s">
        <v>402</v>
      </c>
      <c r="L9" s="2" t="s">
        <v>402</v>
      </c>
      <c r="M9" s="2" t="s">
        <v>402</v>
      </c>
      <c r="N9" s="2" t="s">
        <v>408</v>
      </c>
      <c r="O9" s="2" t="s">
        <v>337</v>
      </c>
    </row>
    <row r="10" spans="1:16" x14ac:dyDescent="0.35">
      <c r="A10" t="s">
        <v>41</v>
      </c>
      <c r="B10" t="s">
        <v>11</v>
      </c>
      <c r="C10" s="2" t="s">
        <v>22</v>
      </c>
      <c r="D10" s="10">
        <v>0</v>
      </c>
      <c r="E10" s="10">
        <v>0</v>
      </c>
      <c r="F10" s="10">
        <v>26.212299999999999</v>
      </c>
      <c r="G10" s="10">
        <v>26.212</v>
      </c>
      <c r="I10" s="2" t="s">
        <v>337</v>
      </c>
      <c r="J10" s="2" t="s">
        <v>401</v>
      </c>
      <c r="K10" s="2" t="s">
        <v>402</v>
      </c>
      <c r="L10" s="2" t="s">
        <v>402</v>
      </c>
      <c r="M10" s="2" t="s">
        <v>402</v>
      </c>
      <c r="N10" s="2" t="s">
        <v>408</v>
      </c>
      <c r="O10" s="2" t="s">
        <v>337</v>
      </c>
    </row>
    <row r="11" spans="1:16" x14ac:dyDescent="0.35">
      <c r="A11" t="s">
        <v>45</v>
      </c>
      <c r="B11" t="s">
        <v>11</v>
      </c>
      <c r="C11" s="2" t="s">
        <v>22</v>
      </c>
      <c r="D11" s="10">
        <v>0</v>
      </c>
      <c r="E11" s="10">
        <v>0</v>
      </c>
      <c r="F11" s="10">
        <v>29.336500000000001</v>
      </c>
      <c r="G11" s="10">
        <v>29.337</v>
      </c>
      <c r="I11" s="2" t="s">
        <v>337</v>
      </c>
      <c r="J11" s="2" t="s">
        <v>401</v>
      </c>
      <c r="K11" s="2" t="s">
        <v>402</v>
      </c>
      <c r="L11" s="2" t="s">
        <v>402</v>
      </c>
      <c r="M11" s="2" t="s">
        <v>402</v>
      </c>
      <c r="N11" s="2" t="s">
        <v>408</v>
      </c>
      <c r="O11" s="2" t="s">
        <v>337</v>
      </c>
    </row>
    <row r="12" spans="1:16" x14ac:dyDescent="0.35">
      <c r="A12" t="s">
        <v>52</v>
      </c>
      <c r="B12" t="s">
        <v>11</v>
      </c>
      <c r="C12" s="2" t="s">
        <v>22</v>
      </c>
      <c r="D12" s="10">
        <v>-3.4799999999999998E-2</v>
      </c>
      <c r="E12" s="10">
        <v>0</v>
      </c>
      <c r="F12" s="10">
        <v>48.132399999999997</v>
      </c>
      <c r="G12" s="10">
        <v>48.131999999999998</v>
      </c>
      <c r="I12" s="2" t="s">
        <v>337</v>
      </c>
      <c r="J12" s="2" t="s">
        <v>401</v>
      </c>
      <c r="K12" s="2" t="s">
        <v>402</v>
      </c>
      <c r="L12" s="2" t="s">
        <v>402</v>
      </c>
      <c r="M12" s="2" t="s">
        <v>402</v>
      </c>
      <c r="N12" s="2" t="s">
        <v>408</v>
      </c>
      <c r="O12" s="2" t="s">
        <v>337</v>
      </c>
    </row>
    <row r="13" spans="1:16" x14ac:dyDescent="0.35">
      <c r="A13" t="s">
        <v>57</v>
      </c>
      <c r="B13" t="s">
        <v>11</v>
      </c>
      <c r="C13" s="2" t="s">
        <v>58</v>
      </c>
      <c r="D13" s="10">
        <v>-0.18820000000000001</v>
      </c>
      <c r="E13" s="10">
        <v>0</v>
      </c>
      <c r="F13" s="10">
        <v>89.593999999999994</v>
      </c>
      <c r="G13" s="10">
        <v>89.593999999999994</v>
      </c>
      <c r="I13" s="2" t="s">
        <v>337</v>
      </c>
      <c r="J13" s="2" t="s">
        <v>402</v>
      </c>
      <c r="K13" s="2" t="s">
        <v>402</v>
      </c>
      <c r="L13" s="2" t="s">
        <v>402</v>
      </c>
      <c r="M13" s="2" t="s">
        <v>402</v>
      </c>
      <c r="N13" s="2" t="s">
        <v>402</v>
      </c>
      <c r="O13" s="2" t="s">
        <v>337</v>
      </c>
    </row>
    <row r="14" spans="1:16" x14ac:dyDescent="0.35">
      <c r="A14" t="s">
        <v>59</v>
      </c>
      <c r="B14" t="s">
        <v>11</v>
      </c>
      <c r="C14" s="2" t="s">
        <v>24</v>
      </c>
      <c r="D14" s="10">
        <v>-0.1946</v>
      </c>
      <c r="E14" s="10">
        <v>0</v>
      </c>
      <c r="F14" s="10">
        <v>91.3339</v>
      </c>
      <c r="G14" s="10">
        <v>91.334000000000003</v>
      </c>
      <c r="I14" s="2" t="s">
        <v>337</v>
      </c>
      <c r="J14" s="2" t="s">
        <v>402</v>
      </c>
      <c r="K14" s="2" t="s">
        <v>404</v>
      </c>
      <c r="L14" s="2">
        <v>1</v>
      </c>
      <c r="M14" s="2" t="s">
        <v>407</v>
      </c>
      <c r="N14" s="2" t="s">
        <v>411</v>
      </c>
      <c r="O14" s="2" t="s">
        <v>337</v>
      </c>
    </row>
    <row r="15" spans="1:16" x14ac:dyDescent="0.35">
      <c r="A15" t="s">
        <v>60</v>
      </c>
      <c r="B15" t="s">
        <v>11</v>
      </c>
      <c r="C15" s="2" t="s">
        <v>22</v>
      </c>
      <c r="D15" s="10">
        <v>-0.1946</v>
      </c>
      <c r="E15" s="10">
        <v>0</v>
      </c>
      <c r="F15" s="10">
        <v>91.3339</v>
      </c>
      <c r="G15" s="10">
        <v>91.334000000000003</v>
      </c>
      <c r="I15" s="2" t="s">
        <v>337</v>
      </c>
      <c r="J15" s="2" t="s">
        <v>401</v>
      </c>
      <c r="K15" s="2" t="s">
        <v>402</v>
      </c>
      <c r="L15" s="2" t="s">
        <v>402</v>
      </c>
      <c r="M15" s="2" t="s">
        <v>402</v>
      </c>
      <c r="N15" s="2" t="s">
        <v>408</v>
      </c>
      <c r="O15" s="2" t="s">
        <v>337</v>
      </c>
    </row>
    <row r="16" spans="1:16" x14ac:dyDescent="0.35">
      <c r="A16" t="s">
        <v>79</v>
      </c>
      <c r="B16" t="s">
        <v>11</v>
      </c>
      <c r="C16" s="2" t="s">
        <v>24</v>
      </c>
      <c r="D16" s="10">
        <v>0.57569999999999999</v>
      </c>
      <c r="E16" s="10">
        <v>-0.1351</v>
      </c>
      <c r="F16" s="10">
        <v>177.3723</v>
      </c>
      <c r="G16" s="10">
        <v>177.38399999999999</v>
      </c>
      <c r="I16" s="2" t="s">
        <v>342</v>
      </c>
      <c r="J16" s="2" t="s">
        <v>402</v>
      </c>
      <c r="K16" s="2" t="s">
        <v>24</v>
      </c>
      <c r="L16" s="2">
        <v>1</v>
      </c>
      <c r="M16" s="2" t="s">
        <v>406</v>
      </c>
      <c r="N16" s="2" t="s">
        <v>412</v>
      </c>
      <c r="O16" s="2" t="s">
        <v>342</v>
      </c>
    </row>
    <row r="17" spans="1:16" x14ac:dyDescent="0.35">
      <c r="A17" t="s">
        <v>400</v>
      </c>
      <c r="B17" t="s">
        <v>11</v>
      </c>
      <c r="C17" s="2" t="s">
        <v>24</v>
      </c>
      <c r="D17" s="10">
        <v>6.1424000000000003</v>
      </c>
      <c r="E17" s="10">
        <v>-0.35110000000000002</v>
      </c>
      <c r="F17" s="10">
        <v>282.94639999999998</v>
      </c>
      <c r="G17" s="10">
        <v>283.10700000000003</v>
      </c>
      <c r="I17" s="2" t="s">
        <v>342</v>
      </c>
      <c r="J17" s="2" t="s">
        <v>402</v>
      </c>
      <c r="K17" s="2" t="s">
        <v>404</v>
      </c>
      <c r="L17" s="2">
        <v>1</v>
      </c>
      <c r="M17" s="2" t="s">
        <v>406</v>
      </c>
      <c r="N17" s="2" t="s">
        <v>413</v>
      </c>
      <c r="O17" s="2" t="s">
        <v>342</v>
      </c>
    </row>
    <row r="18" spans="1:16" x14ac:dyDescent="0.35">
      <c r="A18" t="s">
        <v>111</v>
      </c>
      <c r="B18" t="s">
        <v>11</v>
      </c>
      <c r="C18" s="2" t="s">
        <v>24</v>
      </c>
      <c r="D18" s="10">
        <v>9.9106000000000005</v>
      </c>
      <c r="E18" s="10">
        <v>-0.47460000000000002</v>
      </c>
      <c r="F18" s="10">
        <v>351.40129999999999</v>
      </c>
      <c r="G18" s="10">
        <v>351.66500000000002</v>
      </c>
      <c r="I18" s="2" t="s">
        <v>350</v>
      </c>
      <c r="J18" s="2" t="s">
        <v>402</v>
      </c>
      <c r="K18" s="2" t="s">
        <v>404</v>
      </c>
      <c r="L18" s="2">
        <v>2</v>
      </c>
      <c r="M18" s="2" t="s">
        <v>407</v>
      </c>
      <c r="N18" s="2" t="s">
        <v>414</v>
      </c>
      <c r="O18" s="2" t="s">
        <v>350</v>
      </c>
    </row>
    <row r="19" spans="1:16" x14ac:dyDescent="0.35">
      <c r="A19" t="s">
        <v>119</v>
      </c>
      <c r="B19" t="s">
        <v>11</v>
      </c>
      <c r="C19" s="2" t="s">
        <v>24</v>
      </c>
      <c r="D19" s="10">
        <v>11.789300000000001</v>
      </c>
      <c r="E19" s="10">
        <v>-0.50829999999999997</v>
      </c>
      <c r="F19" s="10">
        <v>383.67970000000003</v>
      </c>
      <c r="G19" s="10">
        <v>383.99900000000002</v>
      </c>
      <c r="I19" s="2" t="s">
        <v>350</v>
      </c>
      <c r="J19" s="2" t="s">
        <v>402</v>
      </c>
      <c r="K19" s="2" t="s">
        <v>404</v>
      </c>
      <c r="L19" s="2">
        <v>2</v>
      </c>
      <c r="M19" s="2" t="s">
        <v>407</v>
      </c>
      <c r="N19" s="2" t="s">
        <v>415</v>
      </c>
      <c r="O19" s="2" t="s">
        <v>350</v>
      </c>
      <c r="P19" s="20" t="s">
        <v>426</v>
      </c>
    </row>
    <row r="20" spans="1:16" x14ac:dyDescent="0.35">
      <c r="A20" t="s">
        <v>120</v>
      </c>
      <c r="B20" t="s">
        <v>43</v>
      </c>
      <c r="C20" s="2" t="s">
        <v>121</v>
      </c>
      <c r="D20" s="10">
        <v>11.803900000000001</v>
      </c>
      <c r="E20" s="10">
        <v>-0.50800000000000001</v>
      </c>
      <c r="F20" s="10">
        <v>383.91739999999999</v>
      </c>
      <c r="G20" s="10">
        <v>384.23649999999998</v>
      </c>
      <c r="I20" s="2" t="s">
        <v>350</v>
      </c>
      <c r="J20" s="2" t="s">
        <v>402</v>
      </c>
      <c r="K20" s="2" t="s">
        <v>402</v>
      </c>
      <c r="L20" s="2" t="s">
        <v>402</v>
      </c>
      <c r="M20" s="2" t="s">
        <v>402</v>
      </c>
      <c r="N20" s="2" t="s">
        <v>425</v>
      </c>
      <c r="O20" s="2" t="s">
        <v>350</v>
      </c>
      <c r="P20" s="20"/>
    </row>
    <row r="21" spans="1:16" x14ac:dyDescent="0.35">
      <c r="A21" t="s">
        <v>130</v>
      </c>
      <c r="B21" t="s">
        <v>11</v>
      </c>
      <c r="C21" s="2" t="s">
        <v>24</v>
      </c>
      <c r="D21" s="10">
        <v>14.4251</v>
      </c>
      <c r="E21" s="10">
        <v>-0.45550000000000002</v>
      </c>
      <c r="F21" s="10">
        <v>421.2611</v>
      </c>
      <c r="G21" s="10">
        <v>421.673</v>
      </c>
      <c r="I21" s="2" t="s">
        <v>377</v>
      </c>
      <c r="J21" s="2" t="s">
        <v>402</v>
      </c>
      <c r="K21" s="2" t="s">
        <v>405</v>
      </c>
      <c r="L21" s="2">
        <v>1</v>
      </c>
      <c r="M21" s="2" t="s">
        <v>406</v>
      </c>
      <c r="N21" s="2" t="s">
        <v>416</v>
      </c>
      <c r="O21" s="2" t="s">
        <v>377</v>
      </c>
    </row>
    <row r="22" spans="1:16" x14ac:dyDescent="0.35">
      <c r="A22" t="s">
        <v>140</v>
      </c>
      <c r="B22" t="s">
        <v>11</v>
      </c>
      <c r="C22" s="2" t="s">
        <v>24</v>
      </c>
      <c r="D22" s="10">
        <v>16.305800000000001</v>
      </c>
      <c r="E22" s="10">
        <v>-0.42130000000000001</v>
      </c>
      <c r="F22" s="10">
        <v>445.5326</v>
      </c>
      <c r="G22" s="10">
        <v>446.017</v>
      </c>
      <c r="I22" s="2" t="s">
        <v>377</v>
      </c>
      <c r="J22" s="2" t="s">
        <v>402</v>
      </c>
      <c r="K22" s="2" t="s">
        <v>405</v>
      </c>
      <c r="L22" s="2">
        <v>1</v>
      </c>
      <c r="M22" s="2" t="s">
        <v>406</v>
      </c>
      <c r="N22" s="2" t="s">
        <v>417</v>
      </c>
      <c r="O22" s="2" t="s">
        <v>418</v>
      </c>
      <c r="P22" s="20" t="s">
        <v>427</v>
      </c>
    </row>
    <row r="23" spans="1:16" x14ac:dyDescent="0.35">
      <c r="A23" t="s">
        <v>156</v>
      </c>
      <c r="B23" t="s">
        <v>11</v>
      </c>
      <c r="C23" s="2" t="s">
        <v>24</v>
      </c>
      <c r="D23" s="10">
        <v>18.177600000000002</v>
      </c>
      <c r="E23" s="10">
        <v>-0.36430000000000001</v>
      </c>
      <c r="F23" s="10">
        <v>486.20549999999997</v>
      </c>
      <c r="G23" s="10">
        <v>486.73899999999998</v>
      </c>
      <c r="I23" s="2" t="s">
        <v>377</v>
      </c>
      <c r="J23" s="2" t="s">
        <v>402</v>
      </c>
      <c r="K23" s="2" t="s">
        <v>405</v>
      </c>
      <c r="L23" s="2">
        <v>1</v>
      </c>
      <c r="M23" s="2" t="s">
        <v>406</v>
      </c>
      <c r="N23" s="2" t="s">
        <v>419</v>
      </c>
      <c r="O23" s="2" t="s">
        <v>418</v>
      </c>
      <c r="P23" s="20" t="s">
        <v>428</v>
      </c>
    </row>
    <row r="24" spans="1:16" x14ac:dyDescent="0.35">
      <c r="A24" t="s">
        <v>159</v>
      </c>
      <c r="B24" t="s">
        <v>11</v>
      </c>
      <c r="C24" s="2" t="s">
        <v>142</v>
      </c>
      <c r="D24" s="10">
        <v>19.307300000000001</v>
      </c>
      <c r="E24" s="10">
        <v>-0.31619999999999998</v>
      </c>
      <c r="F24" s="10">
        <v>520.61260000000004</v>
      </c>
      <c r="G24" s="10">
        <v>521.16499999999996</v>
      </c>
      <c r="I24" s="2" t="s">
        <v>377</v>
      </c>
      <c r="J24" s="2" t="s">
        <v>402</v>
      </c>
      <c r="K24" s="2" t="s">
        <v>402</v>
      </c>
      <c r="L24" s="2" t="s">
        <v>402</v>
      </c>
      <c r="M24" s="2" t="s">
        <v>402</v>
      </c>
      <c r="N24" s="2" t="s">
        <v>402</v>
      </c>
      <c r="O24" s="2" t="s">
        <v>377</v>
      </c>
      <c r="P24" s="20"/>
    </row>
    <row r="25" spans="1:16" x14ac:dyDescent="0.35">
      <c r="A25" t="s">
        <v>160</v>
      </c>
      <c r="B25" t="s">
        <v>11</v>
      </c>
      <c r="C25" s="2" t="s">
        <v>24</v>
      </c>
      <c r="D25" s="10">
        <v>19.308299999999999</v>
      </c>
      <c r="E25" s="10">
        <v>-0.31619999999999998</v>
      </c>
      <c r="F25" s="10">
        <v>520.6431</v>
      </c>
      <c r="G25" s="10">
        <v>521.19500000000005</v>
      </c>
      <c r="I25" s="2" t="s">
        <v>377</v>
      </c>
      <c r="J25" s="2" t="s">
        <v>402</v>
      </c>
      <c r="K25" s="2" t="s">
        <v>404</v>
      </c>
      <c r="L25" s="2">
        <v>1</v>
      </c>
      <c r="M25" s="2" t="s">
        <v>407</v>
      </c>
      <c r="N25" s="2" t="s">
        <v>420</v>
      </c>
      <c r="O25" s="2" t="s">
        <v>421</v>
      </c>
      <c r="P25" s="20" t="s">
        <v>429</v>
      </c>
    </row>
    <row r="26" spans="1:16" x14ac:dyDescent="0.35">
      <c r="A26" t="s">
        <v>162</v>
      </c>
      <c r="B26" t="s">
        <v>11</v>
      </c>
      <c r="C26" s="2" t="s">
        <v>24</v>
      </c>
      <c r="D26" s="10">
        <v>19.624199999999998</v>
      </c>
      <c r="E26" s="10">
        <v>-0.30270000000000002</v>
      </c>
      <c r="F26" s="10">
        <v>530.26390000000004</v>
      </c>
      <c r="G26" s="10">
        <v>530.82100000000003</v>
      </c>
      <c r="I26" s="2" t="s">
        <v>377</v>
      </c>
      <c r="J26" s="2" t="s">
        <v>402</v>
      </c>
      <c r="K26" s="2" t="s">
        <v>404</v>
      </c>
      <c r="L26" s="2">
        <v>1</v>
      </c>
      <c r="M26" s="2" t="s">
        <v>407</v>
      </c>
      <c r="N26" s="2" t="s">
        <v>422</v>
      </c>
      <c r="O26" s="2" t="s">
        <v>421</v>
      </c>
      <c r="P26" s="20" t="s">
        <v>429</v>
      </c>
    </row>
    <row r="27" spans="1:16" x14ac:dyDescent="0.35">
      <c r="A27" t="s">
        <v>167</v>
      </c>
      <c r="B27" t="s">
        <v>11</v>
      </c>
      <c r="C27" s="2" t="s">
        <v>142</v>
      </c>
      <c r="D27" s="10">
        <v>19.7959</v>
      </c>
      <c r="E27" s="10">
        <v>-0.2954</v>
      </c>
      <c r="F27" s="10">
        <v>535.49350000000004</v>
      </c>
      <c r="G27" s="10">
        <v>536.053</v>
      </c>
      <c r="I27" s="2" t="s">
        <v>377</v>
      </c>
      <c r="J27" s="2" t="s">
        <v>402</v>
      </c>
      <c r="K27" s="2" t="s">
        <v>402</v>
      </c>
      <c r="L27" s="2" t="s">
        <v>402</v>
      </c>
      <c r="M27" s="2" t="s">
        <v>402</v>
      </c>
      <c r="N27" s="2" t="s">
        <v>402</v>
      </c>
      <c r="O27" s="2" t="s">
        <v>377</v>
      </c>
      <c r="P27" s="20"/>
    </row>
    <row r="28" spans="1:16" x14ac:dyDescent="0.35">
      <c r="A28" t="s">
        <v>168</v>
      </c>
      <c r="B28" t="s">
        <v>11</v>
      </c>
      <c r="C28" s="2" t="s">
        <v>24</v>
      </c>
      <c r="D28" s="10">
        <v>20.161200000000001</v>
      </c>
      <c r="E28" s="10">
        <v>-0.27979999999999999</v>
      </c>
      <c r="F28" s="10">
        <v>546.61749999999995</v>
      </c>
      <c r="G28" s="10">
        <v>547.18299999999999</v>
      </c>
      <c r="I28" s="2" t="s">
        <v>377</v>
      </c>
      <c r="J28" s="2" t="s">
        <v>402</v>
      </c>
      <c r="K28" s="2" t="s">
        <v>404</v>
      </c>
      <c r="L28" s="2">
        <v>2</v>
      </c>
      <c r="M28" s="2" t="s">
        <v>407</v>
      </c>
      <c r="N28" s="2" t="s">
        <v>423</v>
      </c>
      <c r="O28" s="2" t="s">
        <v>424</v>
      </c>
      <c r="P28" s="20" t="s">
        <v>430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9"/>
  <sheetViews>
    <sheetView workbookViewId="0">
      <selection activeCell="O26" sqref="O26:O28"/>
    </sheetView>
  </sheetViews>
  <sheetFormatPr defaultRowHeight="14.5" x14ac:dyDescent="0.35"/>
  <cols>
    <col min="1" max="9" width="10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13</v>
      </c>
      <c r="B3" t="s">
        <v>10</v>
      </c>
      <c r="C3" t="s">
        <v>11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14</v>
      </c>
      <c r="B4" t="s">
        <v>10</v>
      </c>
      <c r="C4" t="s">
        <v>11</v>
      </c>
      <c r="D4" t="s">
        <v>12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15</v>
      </c>
      <c r="B5" t="s">
        <v>15</v>
      </c>
      <c r="C5" t="s">
        <v>15</v>
      </c>
      <c r="D5" t="s">
        <v>15</v>
      </c>
    </row>
    <row r="6" spans="1:9" x14ac:dyDescent="0.35">
      <c r="A6" t="s">
        <v>9</v>
      </c>
      <c r="B6" t="s">
        <v>16</v>
      </c>
      <c r="C6" t="s">
        <v>11</v>
      </c>
      <c r="D6" t="s">
        <v>17</v>
      </c>
      <c r="E6">
        <v>0.61</v>
      </c>
      <c r="F6">
        <v>0</v>
      </c>
      <c r="G6">
        <v>0</v>
      </c>
      <c r="H6">
        <v>0.60960000000000003</v>
      </c>
      <c r="I6">
        <v>0</v>
      </c>
    </row>
    <row r="7" spans="1:9" x14ac:dyDescent="0.35">
      <c r="A7" t="s">
        <v>13</v>
      </c>
      <c r="B7" t="s">
        <v>16</v>
      </c>
      <c r="C7" t="s">
        <v>11</v>
      </c>
      <c r="D7" t="s">
        <v>17</v>
      </c>
      <c r="E7">
        <v>0.61</v>
      </c>
      <c r="F7">
        <v>0</v>
      </c>
      <c r="G7">
        <v>0</v>
      </c>
      <c r="H7">
        <v>0.60960000000000003</v>
      </c>
      <c r="I7">
        <v>0</v>
      </c>
    </row>
    <row r="8" spans="1:9" x14ac:dyDescent="0.35">
      <c r="A8" t="s">
        <v>14</v>
      </c>
      <c r="B8" t="s">
        <v>16</v>
      </c>
      <c r="C8" t="s">
        <v>11</v>
      </c>
      <c r="D8" t="s">
        <v>17</v>
      </c>
      <c r="E8">
        <v>0.61</v>
      </c>
      <c r="F8">
        <v>0</v>
      </c>
      <c r="G8">
        <v>0</v>
      </c>
      <c r="H8">
        <v>0.60960000000000003</v>
      </c>
      <c r="I8">
        <v>0</v>
      </c>
    </row>
    <row r="9" spans="1:9" x14ac:dyDescent="0.35">
      <c r="A9" t="s">
        <v>15</v>
      </c>
      <c r="B9" t="s">
        <v>15</v>
      </c>
      <c r="C9" t="s">
        <v>15</v>
      </c>
      <c r="D9" t="s">
        <v>15</v>
      </c>
    </row>
    <row r="10" spans="1:9" x14ac:dyDescent="0.35">
      <c r="A10" t="s">
        <v>9</v>
      </c>
      <c r="B10" t="s">
        <v>18</v>
      </c>
      <c r="C10" t="s">
        <v>11</v>
      </c>
      <c r="D10" t="s">
        <v>19</v>
      </c>
      <c r="E10">
        <v>0.91400000000000003</v>
      </c>
      <c r="F10">
        <v>0</v>
      </c>
      <c r="G10">
        <v>0</v>
      </c>
      <c r="H10">
        <v>0.91439999999999999</v>
      </c>
      <c r="I10">
        <v>0</v>
      </c>
    </row>
    <row r="11" spans="1:9" x14ac:dyDescent="0.35">
      <c r="A11" t="s">
        <v>13</v>
      </c>
      <c r="B11" t="s">
        <v>18</v>
      </c>
      <c r="C11" t="s">
        <v>11</v>
      </c>
      <c r="D11" t="s">
        <v>19</v>
      </c>
      <c r="E11">
        <v>0.91400000000000003</v>
      </c>
      <c r="F11">
        <v>0</v>
      </c>
      <c r="G11">
        <v>0</v>
      </c>
      <c r="H11">
        <v>0.91439999999999999</v>
      </c>
      <c r="I11">
        <v>0</v>
      </c>
    </row>
    <row r="12" spans="1:9" x14ac:dyDescent="0.35">
      <c r="A12" t="s">
        <v>14</v>
      </c>
      <c r="B12" t="s">
        <v>18</v>
      </c>
      <c r="C12" t="s">
        <v>11</v>
      </c>
      <c r="D12" t="s">
        <v>19</v>
      </c>
      <c r="E12">
        <v>0.91400000000000003</v>
      </c>
      <c r="F12">
        <v>0</v>
      </c>
      <c r="G12">
        <v>0</v>
      </c>
      <c r="H12">
        <v>0.91439999999999999</v>
      </c>
      <c r="I12">
        <v>0</v>
      </c>
    </row>
    <row r="13" spans="1:9" x14ac:dyDescent="0.35">
      <c r="A13" t="s">
        <v>15</v>
      </c>
      <c r="B13" t="s">
        <v>15</v>
      </c>
      <c r="C13" t="s">
        <v>15</v>
      </c>
      <c r="D13" t="s">
        <v>15</v>
      </c>
    </row>
    <row r="14" spans="1:9" x14ac:dyDescent="0.35">
      <c r="A14" t="s">
        <v>9</v>
      </c>
      <c r="B14" t="s">
        <v>20</v>
      </c>
      <c r="C14" t="s">
        <v>11</v>
      </c>
      <c r="D14" t="s">
        <v>17</v>
      </c>
      <c r="E14">
        <v>1.2190000000000001</v>
      </c>
      <c r="F14">
        <v>0</v>
      </c>
      <c r="G14">
        <v>0</v>
      </c>
      <c r="H14">
        <v>1.2192000000000001</v>
      </c>
      <c r="I14">
        <v>0</v>
      </c>
    </row>
    <row r="15" spans="1:9" x14ac:dyDescent="0.35">
      <c r="A15" t="s">
        <v>13</v>
      </c>
      <c r="B15" t="s">
        <v>20</v>
      </c>
      <c r="C15" t="s">
        <v>11</v>
      </c>
      <c r="D15" t="s">
        <v>17</v>
      </c>
      <c r="E15">
        <v>1.2190000000000001</v>
      </c>
      <c r="F15">
        <v>0</v>
      </c>
      <c r="G15">
        <v>0</v>
      </c>
      <c r="H15">
        <v>1.2192000000000001</v>
      </c>
      <c r="I15">
        <v>0</v>
      </c>
    </row>
    <row r="16" spans="1:9" x14ac:dyDescent="0.35">
      <c r="A16" t="s">
        <v>14</v>
      </c>
      <c r="B16" t="s">
        <v>20</v>
      </c>
      <c r="C16" t="s">
        <v>11</v>
      </c>
      <c r="D16" t="s">
        <v>17</v>
      </c>
      <c r="E16">
        <v>1.2190000000000001</v>
      </c>
      <c r="F16">
        <v>0</v>
      </c>
      <c r="G16">
        <v>0</v>
      </c>
      <c r="H16">
        <v>1.2192000000000001</v>
      </c>
      <c r="I16">
        <v>0</v>
      </c>
    </row>
    <row r="17" spans="1:9" x14ac:dyDescent="0.35">
      <c r="A17" t="s">
        <v>15</v>
      </c>
      <c r="B17" t="s">
        <v>15</v>
      </c>
      <c r="C17" t="s">
        <v>15</v>
      </c>
      <c r="D17" t="s">
        <v>15</v>
      </c>
    </row>
    <row r="18" spans="1:9" x14ac:dyDescent="0.35">
      <c r="A18" t="s">
        <v>9</v>
      </c>
      <c r="B18" t="s">
        <v>21</v>
      </c>
      <c r="C18" t="s">
        <v>11</v>
      </c>
      <c r="D18" t="s">
        <v>22</v>
      </c>
      <c r="E18">
        <v>3.657</v>
      </c>
      <c r="F18">
        <v>0</v>
      </c>
      <c r="G18">
        <v>0</v>
      </c>
      <c r="H18">
        <v>3.6572</v>
      </c>
      <c r="I18">
        <v>0</v>
      </c>
    </row>
    <row r="19" spans="1:9" x14ac:dyDescent="0.35">
      <c r="A19" t="s">
        <v>13</v>
      </c>
      <c r="B19" t="s">
        <v>21</v>
      </c>
      <c r="C19" t="s">
        <v>11</v>
      </c>
      <c r="D19" t="s">
        <v>22</v>
      </c>
      <c r="E19">
        <v>3.657</v>
      </c>
      <c r="F19">
        <v>0</v>
      </c>
      <c r="G19">
        <v>0</v>
      </c>
      <c r="H19">
        <v>3.6572</v>
      </c>
      <c r="I19">
        <v>0</v>
      </c>
    </row>
    <row r="20" spans="1:9" x14ac:dyDescent="0.35">
      <c r="A20" t="s">
        <v>14</v>
      </c>
      <c r="B20" t="s">
        <v>21</v>
      </c>
      <c r="C20" t="s">
        <v>11</v>
      </c>
      <c r="D20" t="s">
        <v>22</v>
      </c>
      <c r="E20">
        <v>3.657</v>
      </c>
      <c r="F20">
        <v>0</v>
      </c>
      <c r="G20">
        <v>0</v>
      </c>
      <c r="H20">
        <v>3.6572</v>
      </c>
      <c r="I20">
        <v>0</v>
      </c>
    </row>
    <row r="21" spans="1:9" x14ac:dyDescent="0.35">
      <c r="A21" t="s">
        <v>15</v>
      </c>
      <c r="B21" t="s">
        <v>15</v>
      </c>
      <c r="C21" t="s">
        <v>15</v>
      </c>
      <c r="D21" t="s">
        <v>15</v>
      </c>
    </row>
    <row r="22" spans="1:9" x14ac:dyDescent="0.35">
      <c r="A22" t="s">
        <v>9</v>
      </c>
      <c r="B22" t="s">
        <v>23</v>
      </c>
      <c r="C22" t="s">
        <v>11</v>
      </c>
      <c r="D22" t="s">
        <v>24</v>
      </c>
      <c r="E22">
        <v>3.657</v>
      </c>
      <c r="F22">
        <v>0</v>
      </c>
      <c r="G22">
        <v>0</v>
      </c>
      <c r="H22">
        <v>3.6572</v>
      </c>
      <c r="I22">
        <v>0</v>
      </c>
    </row>
    <row r="23" spans="1:9" x14ac:dyDescent="0.35">
      <c r="A23" t="s">
        <v>13</v>
      </c>
      <c r="B23" t="s">
        <v>23</v>
      </c>
      <c r="C23" t="s">
        <v>11</v>
      </c>
      <c r="D23" t="s">
        <v>24</v>
      </c>
      <c r="E23">
        <v>3.657</v>
      </c>
      <c r="F23">
        <v>0</v>
      </c>
      <c r="G23">
        <v>0</v>
      </c>
      <c r="H23">
        <v>3.6572</v>
      </c>
      <c r="I23">
        <v>0</v>
      </c>
    </row>
    <row r="24" spans="1:9" x14ac:dyDescent="0.35">
      <c r="A24" t="s">
        <v>14</v>
      </c>
      <c r="B24" t="s">
        <v>23</v>
      </c>
      <c r="C24" t="s">
        <v>11</v>
      </c>
      <c r="D24" t="s">
        <v>24</v>
      </c>
      <c r="E24">
        <v>3.657</v>
      </c>
      <c r="F24">
        <v>0</v>
      </c>
      <c r="G24">
        <v>0</v>
      </c>
      <c r="H24">
        <v>3.6572</v>
      </c>
      <c r="I24">
        <v>0</v>
      </c>
    </row>
    <row r="25" spans="1:9" x14ac:dyDescent="0.35">
      <c r="A25" t="s">
        <v>15</v>
      </c>
      <c r="B25" t="s">
        <v>15</v>
      </c>
      <c r="C25" t="s">
        <v>15</v>
      </c>
      <c r="D25" t="s">
        <v>15</v>
      </c>
    </row>
    <row r="26" spans="1:9" x14ac:dyDescent="0.35">
      <c r="A26" t="s">
        <v>9</v>
      </c>
      <c r="B26" t="s">
        <v>25</v>
      </c>
      <c r="C26" t="s">
        <v>11</v>
      </c>
      <c r="D26" t="s">
        <v>22</v>
      </c>
      <c r="E26">
        <v>3.911</v>
      </c>
      <c r="F26">
        <v>0</v>
      </c>
      <c r="G26">
        <v>0</v>
      </c>
      <c r="H26">
        <v>3.9112</v>
      </c>
      <c r="I26">
        <v>0</v>
      </c>
    </row>
    <row r="27" spans="1:9" x14ac:dyDescent="0.35">
      <c r="A27" t="s">
        <v>13</v>
      </c>
      <c r="B27" t="s">
        <v>25</v>
      </c>
      <c r="C27" t="s">
        <v>11</v>
      </c>
      <c r="D27" t="s">
        <v>22</v>
      </c>
      <c r="E27">
        <v>3.911</v>
      </c>
      <c r="F27">
        <v>0</v>
      </c>
      <c r="G27">
        <v>0</v>
      </c>
      <c r="H27">
        <v>3.9112</v>
      </c>
      <c r="I27">
        <v>0</v>
      </c>
    </row>
    <row r="28" spans="1:9" x14ac:dyDescent="0.35">
      <c r="A28" t="s">
        <v>14</v>
      </c>
      <c r="B28" t="s">
        <v>25</v>
      </c>
      <c r="C28" t="s">
        <v>11</v>
      </c>
      <c r="D28" t="s">
        <v>22</v>
      </c>
      <c r="E28">
        <v>3.911</v>
      </c>
      <c r="F28">
        <v>0</v>
      </c>
      <c r="G28">
        <v>0</v>
      </c>
      <c r="H28">
        <v>3.9112</v>
      </c>
      <c r="I28">
        <v>0</v>
      </c>
    </row>
    <row r="29" spans="1:9" x14ac:dyDescent="0.35">
      <c r="A29" t="s">
        <v>15</v>
      </c>
      <c r="B29" t="s">
        <v>15</v>
      </c>
      <c r="C29" t="s">
        <v>15</v>
      </c>
      <c r="D29" t="s">
        <v>15</v>
      </c>
    </row>
    <row r="30" spans="1:9" x14ac:dyDescent="0.35">
      <c r="A30" t="s">
        <v>9</v>
      </c>
      <c r="B30" t="s">
        <v>26</v>
      </c>
      <c r="C30" t="s">
        <v>27</v>
      </c>
      <c r="D30" t="s">
        <v>28</v>
      </c>
      <c r="E30">
        <v>3.911</v>
      </c>
      <c r="F30">
        <v>0</v>
      </c>
      <c r="G30">
        <v>0</v>
      </c>
      <c r="H30">
        <v>3.9112</v>
      </c>
      <c r="I30">
        <v>-90</v>
      </c>
    </row>
    <row r="31" spans="1:9" x14ac:dyDescent="0.35">
      <c r="A31" t="s">
        <v>13</v>
      </c>
      <c r="B31" t="s">
        <v>26</v>
      </c>
      <c r="C31" t="s">
        <v>27</v>
      </c>
      <c r="D31" t="s">
        <v>28</v>
      </c>
      <c r="E31">
        <v>5.4349999999999996</v>
      </c>
      <c r="F31">
        <v>0</v>
      </c>
      <c r="G31">
        <v>0</v>
      </c>
      <c r="H31">
        <v>5.4352</v>
      </c>
      <c r="I31">
        <v>-90</v>
      </c>
    </row>
    <row r="32" spans="1:9" x14ac:dyDescent="0.35">
      <c r="A32" t="s">
        <v>14</v>
      </c>
      <c r="B32" t="s">
        <v>26</v>
      </c>
      <c r="C32" t="s">
        <v>27</v>
      </c>
      <c r="D32" t="s">
        <v>28</v>
      </c>
      <c r="E32">
        <v>6.9589999999999996</v>
      </c>
      <c r="F32">
        <v>0</v>
      </c>
      <c r="G32">
        <v>0</v>
      </c>
      <c r="H32">
        <v>6.9592000000000001</v>
      </c>
      <c r="I32">
        <v>-90</v>
      </c>
    </row>
    <row r="33" spans="1:9" x14ac:dyDescent="0.35">
      <c r="A33" t="s">
        <v>15</v>
      </c>
      <c r="B33" t="s">
        <v>15</v>
      </c>
      <c r="C33" t="s">
        <v>15</v>
      </c>
      <c r="D33" t="s">
        <v>15</v>
      </c>
    </row>
    <row r="34" spans="1:9" x14ac:dyDescent="0.35">
      <c r="A34" t="s">
        <v>9</v>
      </c>
      <c r="B34" t="s">
        <v>29</v>
      </c>
      <c r="C34" t="s">
        <v>27</v>
      </c>
      <c r="D34" t="s">
        <v>28</v>
      </c>
      <c r="E34">
        <v>7.0609999999999999</v>
      </c>
      <c r="F34">
        <v>0</v>
      </c>
      <c r="G34">
        <v>0</v>
      </c>
      <c r="H34">
        <v>7.0608000000000004</v>
      </c>
      <c r="I34">
        <v>-90</v>
      </c>
    </row>
    <row r="35" spans="1:9" x14ac:dyDescent="0.35">
      <c r="A35" t="s">
        <v>13</v>
      </c>
      <c r="B35" t="s">
        <v>29</v>
      </c>
      <c r="C35" t="s">
        <v>27</v>
      </c>
      <c r="D35" t="s">
        <v>28</v>
      </c>
      <c r="E35">
        <v>8.5850000000000009</v>
      </c>
      <c r="F35">
        <v>0</v>
      </c>
      <c r="G35">
        <v>0</v>
      </c>
      <c r="H35">
        <v>8.5847999999999995</v>
      </c>
      <c r="I35">
        <v>-90</v>
      </c>
    </row>
    <row r="36" spans="1:9" x14ac:dyDescent="0.35">
      <c r="A36" t="s">
        <v>14</v>
      </c>
      <c r="B36" t="s">
        <v>29</v>
      </c>
      <c r="C36" t="s">
        <v>27</v>
      </c>
      <c r="D36" t="s">
        <v>28</v>
      </c>
      <c r="E36">
        <v>10.109</v>
      </c>
      <c r="F36">
        <v>0</v>
      </c>
      <c r="G36">
        <v>0</v>
      </c>
      <c r="H36">
        <v>10.1088</v>
      </c>
      <c r="I36">
        <v>-90</v>
      </c>
    </row>
    <row r="37" spans="1:9" x14ac:dyDescent="0.35">
      <c r="A37" t="s">
        <v>15</v>
      </c>
      <c r="B37" t="s">
        <v>15</v>
      </c>
      <c r="C37" t="s">
        <v>15</v>
      </c>
      <c r="D37" t="s">
        <v>15</v>
      </c>
    </row>
    <row r="38" spans="1:9" x14ac:dyDescent="0.35">
      <c r="A38" t="s">
        <v>9</v>
      </c>
      <c r="B38" t="s">
        <v>30</v>
      </c>
      <c r="C38" t="s">
        <v>27</v>
      </c>
      <c r="D38" t="s">
        <v>28</v>
      </c>
      <c r="E38">
        <v>10.210000000000001</v>
      </c>
      <c r="F38">
        <v>0</v>
      </c>
      <c r="G38">
        <v>0</v>
      </c>
      <c r="H38">
        <v>10.2104</v>
      </c>
      <c r="I38">
        <v>-90</v>
      </c>
    </row>
    <row r="39" spans="1:9" x14ac:dyDescent="0.35">
      <c r="A39" t="s">
        <v>13</v>
      </c>
      <c r="B39" t="s">
        <v>30</v>
      </c>
      <c r="C39" t="s">
        <v>27</v>
      </c>
      <c r="D39" t="s">
        <v>28</v>
      </c>
      <c r="E39">
        <v>11.734</v>
      </c>
      <c r="F39">
        <v>0</v>
      </c>
      <c r="G39">
        <v>0</v>
      </c>
      <c r="H39">
        <v>11.734400000000001</v>
      </c>
      <c r="I39">
        <v>-90</v>
      </c>
    </row>
    <row r="40" spans="1:9" x14ac:dyDescent="0.35">
      <c r="A40" t="s">
        <v>14</v>
      </c>
      <c r="B40" t="s">
        <v>30</v>
      </c>
      <c r="C40" t="s">
        <v>27</v>
      </c>
      <c r="D40" t="s">
        <v>28</v>
      </c>
      <c r="E40">
        <v>13.257999999999999</v>
      </c>
      <c r="F40">
        <v>0</v>
      </c>
      <c r="G40">
        <v>0</v>
      </c>
      <c r="H40">
        <v>13.2584</v>
      </c>
      <c r="I40">
        <v>-90</v>
      </c>
    </row>
    <row r="41" spans="1:9" x14ac:dyDescent="0.35">
      <c r="A41" t="s">
        <v>15</v>
      </c>
      <c r="B41" t="s">
        <v>15</v>
      </c>
      <c r="C41" t="s">
        <v>15</v>
      </c>
      <c r="D41" t="s">
        <v>15</v>
      </c>
    </row>
    <row r="42" spans="1:9" x14ac:dyDescent="0.35">
      <c r="A42" t="s">
        <v>9</v>
      </c>
      <c r="B42" t="s">
        <v>31</v>
      </c>
      <c r="C42" t="s">
        <v>27</v>
      </c>
      <c r="D42" t="s">
        <v>28</v>
      </c>
      <c r="E42">
        <v>13.36</v>
      </c>
      <c r="F42">
        <v>0</v>
      </c>
      <c r="G42">
        <v>0</v>
      </c>
      <c r="H42">
        <v>13.36</v>
      </c>
      <c r="I42">
        <v>-90</v>
      </c>
    </row>
    <row r="43" spans="1:9" x14ac:dyDescent="0.35">
      <c r="A43" t="s">
        <v>13</v>
      </c>
      <c r="B43" t="s">
        <v>31</v>
      </c>
      <c r="C43" t="s">
        <v>27</v>
      </c>
      <c r="D43" t="s">
        <v>28</v>
      </c>
      <c r="E43">
        <v>14.884</v>
      </c>
      <c r="F43">
        <v>0</v>
      </c>
      <c r="G43">
        <v>0</v>
      </c>
      <c r="H43">
        <v>14.884</v>
      </c>
      <c r="I43">
        <v>-90</v>
      </c>
    </row>
    <row r="44" spans="1:9" x14ac:dyDescent="0.35">
      <c r="A44" t="s">
        <v>14</v>
      </c>
      <c r="B44" t="s">
        <v>31</v>
      </c>
      <c r="C44" t="s">
        <v>27</v>
      </c>
      <c r="D44" t="s">
        <v>28</v>
      </c>
      <c r="E44">
        <v>16.408000000000001</v>
      </c>
      <c r="F44">
        <v>0</v>
      </c>
      <c r="G44">
        <v>0</v>
      </c>
      <c r="H44">
        <v>16.408000000000001</v>
      </c>
      <c r="I44">
        <v>-90</v>
      </c>
    </row>
    <row r="45" spans="1:9" x14ac:dyDescent="0.35">
      <c r="A45" t="s">
        <v>15</v>
      </c>
      <c r="B45" t="s">
        <v>15</v>
      </c>
      <c r="C45" t="s">
        <v>15</v>
      </c>
      <c r="D45" t="s">
        <v>15</v>
      </c>
    </row>
    <row r="46" spans="1:9" x14ac:dyDescent="0.35">
      <c r="A46" t="s">
        <v>9</v>
      </c>
      <c r="B46" t="s">
        <v>32</v>
      </c>
      <c r="C46" t="s">
        <v>27</v>
      </c>
      <c r="D46" t="s">
        <v>28</v>
      </c>
      <c r="E46">
        <v>16.510000000000002</v>
      </c>
      <c r="F46">
        <v>0</v>
      </c>
      <c r="G46">
        <v>0</v>
      </c>
      <c r="H46">
        <v>16.509599999999999</v>
      </c>
      <c r="I46">
        <v>-90</v>
      </c>
    </row>
    <row r="47" spans="1:9" x14ac:dyDescent="0.35">
      <c r="A47" t="s">
        <v>13</v>
      </c>
      <c r="B47" t="s">
        <v>32</v>
      </c>
      <c r="C47" t="s">
        <v>27</v>
      </c>
      <c r="D47" t="s">
        <v>28</v>
      </c>
      <c r="E47">
        <v>18.033999999999999</v>
      </c>
      <c r="F47">
        <v>0</v>
      </c>
      <c r="G47">
        <v>0</v>
      </c>
      <c r="H47">
        <v>18.0336</v>
      </c>
      <c r="I47">
        <v>-90</v>
      </c>
    </row>
    <row r="48" spans="1:9" x14ac:dyDescent="0.35">
      <c r="A48" t="s">
        <v>14</v>
      </c>
      <c r="B48" t="s">
        <v>32</v>
      </c>
      <c r="C48" t="s">
        <v>27</v>
      </c>
      <c r="D48" t="s">
        <v>28</v>
      </c>
      <c r="E48">
        <v>19.558</v>
      </c>
      <c r="F48">
        <v>0</v>
      </c>
      <c r="G48">
        <v>0</v>
      </c>
      <c r="H48">
        <v>19.557600000000001</v>
      </c>
      <c r="I48">
        <v>-90</v>
      </c>
    </row>
    <row r="49" spans="1:9" x14ac:dyDescent="0.35">
      <c r="A49" t="s">
        <v>15</v>
      </c>
      <c r="B49" t="s">
        <v>15</v>
      </c>
      <c r="C49" t="s">
        <v>15</v>
      </c>
      <c r="D49" t="s">
        <v>15</v>
      </c>
    </row>
    <row r="50" spans="1:9" x14ac:dyDescent="0.35">
      <c r="A50" t="s">
        <v>9</v>
      </c>
      <c r="B50" t="s">
        <v>33</v>
      </c>
      <c r="C50" t="s">
        <v>11</v>
      </c>
      <c r="D50" t="s">
        <v>19</v>
      </c>
      <c r="E50">
        <v>19.658999999999999</v>
      </c>
      <c r="F50">
        <v>0</v>
      </c>
      <c r="G50">
        <v>0</v>
      </c>
      <c r="H50">
        <v>19.659099999999999</v>
      </c>
      <c r="I50">
        <v>0</v>
      </c>
    </row>
    <row r="51" spans="1:9" x14ac:dyDescent="0.35">
      <c r="A51" t="s">
        <v>13</v>
      </c>
      <c r="B51" t="s">
        <v>33</v>
      </c>
      <c r="C51" t="s">
        <v>11</v>
      </c>
      <c r="D51" t="s">
        <v>19</v>
      </c>
      <c r="E51">
        <v>19.658999999999999</v>
      </c>
      <c r="F51">
        <v>0</v>
      </c>
      <c r="G51">
        <v>0</v>
      </c>
      <c r="H51">
        <v>19.659099999999999</v>
      </c>
      <c r="I51">
        <v>0</v>
      </c>
    </row>
    <row r="52" spans="1:9" x14ac:dyDescent="0.35">
      <c r="A52" t="s">
        <v>14</v>
      </c>
      <c r="B52" t="s">
        <v>33</v>
      </c>
      <c r="C52" t="s">
        <v>11</v>
      </c>
      <c r="D52" t="s">
        <v>19</v>
      </c>
      <c r="E52">
        <v>19.658999999999999</v>
      </c>
      <c r="F52">
        <v>0</v>
      </c>
      <c r="G52">
        <v>0</v>
      </c>
      <c r="H52">
        <v>19.659099999999999</v>
      </c>
      <c r="I52">
        <v>0</v>
      </c>
    </row>
    <row r="53" spans="1:9" x14ac:dyDescent="0.35">
      <c r="A53" t="s">
        <v>15</v>
      </c>
      <c r="B53" t="s">
        <v>15</v>
      </c>
      <c r="C53" t="s">
        <v>15</v>
      </c>
      <c r="D53" t="s">
        <v>15</v>
      </c>
    </row>
    <row r="54" spans="1:9" x14ac:dyDescent="0.35">
      <c r="A54" t="s">
        <v>9</v>
      </c>
      <c r="B54" t="s">
        <v>34</v>
      </c>
      <c r="C54" t="s">
        <v>11</v>
      </c>
      <c r="D54" t="s">
        <v>35</v>
      </c>
      <c r="E54">
        <v>19.658999999999999</v>
      </c>
      <c r="F54">
        <v>0</v>
      </c>
      <c r="G54">
        <v>0</v>
      </c>
      <c r="H54">
        <v>19.659099999999999</v>
      </c>
      <c r="I54">
        <v>0</v>
      </c>
    </row>
    <row r="55" spans="1:9" x14ac:dyDescent="0.35">
      <c r="A55" t="s">
        <v>13</v>
      </c>
      <c r="B55" t="s">
        <v>34</v>
      </c>
      <c r="C55" t="s">
        <v>11</v>
      </c>
      <c r="D55" t="s">
        <v>35</v>
      </c>
      <c r="E55">
        <v>19.658999999999999</v>
      </c>
      <c r="F55">
        <v>0</v>
      </c>
      <c r="G55">
        <v>0</v>
      </c>
      <c r="H55">
        <v>19.659099999999999</v>
      </c>
      <c r="I55">
        <v>0</v>
      </c>
    </row>
    <row r="56" spans="1:9" x14ac:dyDescent="0.35">
      <c r="A56" t="s">
        <v>14</v>
      </c>
      <c r="B56" t="s">
        <v>34</v>
      </c>
      <c r="C56" t="s">
        <v>11</v>
      </c>
      <c r="D56" t="s">
        <v>35</v>
      </c>
      <c r="E56">
        <v>19.658999999999999</v>
      </c>
      <c r="F56">
        <v>0</v>
      </c>
      <c r="G56">
        <v>0</v>
      </c>
      <c r="H56">
        <v>19.659099999999999</v>
      </c>
      <c r="I56">
        <v>0</v>
      </c>
    </row>
    <row r="57" spans="1:9" x14ac:dyDescent="0.35">
      <c r="A57" t="s">
        <v>15</v>
      </c>
      <c r="B57" t="s">
        <v>15</v>
      </c>
      <c r="C57" t="s">
        <v>15</v>
      </c>
      <c r="D57" t="s">
        <v>15</v>
      </c>
    </row>
    <row r="58" spans="1:9" x14ac:dyDescent="0.35">
      <c r="A58" t="s">
        <v>9</v>
      </c>
      <c r="B58" t="s">
        <v>36</v>
      </c>
      <c r="C58" t="s">
        <v>27</v>
      </c>
      <c r="D58" t="s">
        <v>28</v>
      </c>
      <c r="E58">
        <v>19.658999999999999</v>
      </c>
      <c r="F58">
        <v>0</v>
      </c>
      <c r="G58">
        <v>0</v>
      </c>
      <c r="H58">
        <v>19.659099999999999</v>
      </c>
      <c r="I58">
        <v>-90</v>
      </c>
    </row>
    <row r="59" spans="1:9" x14ac:dyDescent="0.35">
      <c r="A59" t="s">
        <v>13</v>
      </c>
      <c r="B59" t="s">
        <v>36</v>
      </c>
      <c r="C59" t="s">
        <v>27</v>
      </c>
      <c r="D59" t="s">
        <v>28</v>
      </c>
      <c r="E59">
        <v>21.183</v>
      </c>
      <c r="F59">
        <v>0</v>
      </c>
      <c r="G59">
        <v>0</v>
      </c>
      <c r="H59">
        <v>21.1831</v>
      </c>
      <c r="I59">
        <v>-90</v>
      </c>
    </row>
    <row r="60" spans="1:9" x14ac:dyDescent="0.35">
      <c r="A60" t="s">
        <v>14</v>
      </c>
      <c r="B60" t="s">
        <v>36</v>
      </c>
      <c r="C60" t="s">
        <v>27</v>
      </c>
      <c r="D60" t="s">
        <v>28</v>
      </c>
      <c r="E60">
        <v>22.707000000000001</v>
      </c>
      <c r="F60">
        <v>0</v>
      </c>
      <c r="G60">
        <v>0</v>
      </c>
      <c r="H60">
        <v>22.707100000000001</v>
      </c>
      <c r="I60">
        <v>-90</v>
      </c>
    </row>
    <row r="61" spans="1:9" x14ac:dyDescent="0.35">
      <c r="A61" t="s">
        <v>15</v>
      </c>
      <c r="B61" t="s">
        <v>15</v>
      </c>
      <c r="C61" t="s">
        <v>15</v>
      </c>
      <c r="D61" t="s">
        <v>15</v>
      </c>
    </row>
    <row r="62" spans="1:9" x14ac:dyDescent="0.35">
      <c r="A62" t="s">
        <v>9</v>
      </c>
      <c r="B62" t="s">
        <v>37</v>
      </c>
      <c r="C62" t="s">
        <v>11</v>
      </c>
      <c r="D62" t="s">
        <v>22</v>
      </c>
      <c r="E62">
        <v>22.809000000000001</v>
      </c>
      <c r="F62">
        <v>0</v>
      </c>
      <c r="G62">
        <v>0</v>
      </c>
      <c r="H62">
        <v>22.808700000000002</v>
      </c>
      <c r="I62">
        <v>0</v>
      </c>
    </row>
    <row r="63" spans="1:9" x14ac:dyDescent="0.35">
      <c r="A63" t="s">
        <v>13</v>
      </c>
      <c r="B63" t="s">
        <v>37</v>
      </c>
      <c r="C63" t="s">
        <v>11</v>
      </c>
      <c r="D63" t="s">
        <v>22</v>
      </c>
      <c r="E63">
        <v>22.809000000000001</v>
      </c>
      <c r="F63">
        <v>0</v>
      </c>
      <c r="G63">
        <v>0</v>
      </c>
      <c r="H63">
        <v>22.808700000000002</v>
      </c>
      <c r="I63">
        <v>0</v>
      </c>
    </row>
    <row r="64" spans="1:9" x14ac:dyDescent="0.35">
      <c r="A64" t="s">
        <v>14</v>
      </c>
      <c r="B64" t="s">
        <v>37</v>
      </c>
      <c r="C64" t="s">
        <v>11</v>
      </c>
      <c r="D64" t="s">
        <v>22</v>
      </c>
      <c r="E64">
        <v>22.809000000000001</v>
      </c>
      <c r="F64">
        <v>0</v>
      </c>
      <c r="G64">
        <v>0</v>
      </c>
      <c r="H64">
        <v>22.808700000000002</v>
      </c>
      <c r="I64">
        <v>0</v>
      </c>
    </row>
    <row r="65" spans="1:9" x14ac:dyDescent="0.35">
      <c r="A65" t="s">
        <v>15</v>
      </c>
      <c r="B65" t="s">
        <v>15</v>
      </c>
      <c r="C65" t="s">
        <v>15</v>
      </c>
      <c r="D65" t="s">
        <v>15</v>
      </c>
    </row>
    <row r="66" spans="1:9" x14ac:dyDescent="0.35">
      <c r="A66" t="s">
        <v>9</v>
      </c>
      <c r="B66" t="s">
        <v>38</v>
      </c>
      <c r="C66" t="s">
        <v>27</v>
      </c>
      <c r="D66" t="s">
        <v>28</v>
      </c>
      <c r="E66">
        <v>22.809000000000001</v>
      </c>
      <c r="F66">
        <v>0</v>
      </c>
      <c r="G66">
        <v>0</v>
      </c>
      <c r="H66">
        <v>22.808700000000002</v>
      </c>
      <c r="I66">
        <v>-90</v>
      </c>
    </row>
    <row r="67" spans="1:9" x14ac:dyDescent="0.35">
      <c r="A67" t="s">
        <v>13</v>
      </c>
      <c r="B67" t="s">
        <v>38</v>
      </c>
      <c r="C67" t="s">
        <v>27</v>
      </c>
      <c r="D67" t="s">
        <v>28</v>
      </c>
      <c r="E67">
        <v>24.332999999999998</v>
      </c>
      <c r="F67">
        <v>0</v>
      </c>
      <c r="G67">
        <v>0</v>
      </c>
      <c r="H67">
        <v>24.332699999999999</v>
      </c>
      <c r="I67">
        <v>-90</v>
      </c>
    </row>
    <row r="68" spans="1:9" x14ac:dyDescent="0.35">
      <c r="A68" t="s">
        <v>14</v>
      </c>
      <c r="B68" t="s">
        <v>38</v>
      </c>
      <c r="C68" t="s">
        <v>27</v>
      </c>
      <c r="D68" t="s">
        <v>28</v>
      </c>
      <c r="E68">
        <v>25.856999999999999</v>
      </c>
      <c r="F68">
        <v>0</v>
      </c>
      <c r="G68">
        <v>0</v>
      </c>
      <c r="H68">
        <v>25.8567</v>
      </c>
      <c r="I68">
        <v>-90</v>
      </c>
    </row>
    <row r="69" spans="1:9" x14ac:dyDescent="0.35">
      <c r="A69" t="s">
        <v>15</v>
      </c>
      <c r="B69" t="s">
        <v>15</v>
      </c>
      <c r="C69" t="s">
        <v>15</v>
      </c>
      <c r="D69" t="s">
        <v>15</v>
      </c>
    </row>
    <row r="70" spans="1:9" x14ac:dyDescent="0.35">
      <c r="A70" t="s">
        <v>9</v>
      </c>
      <c r="B70" t="s">
        <v>39</v>
      </c>
      <c r="C70" t="s">
        <v>11</v>
      </c>
      <c r="D70" t="s">
        <v>24</v>
      </c>
      <c r="E70">
        <v>25.957999999999998</v>
      </c>
      <c r="F70">
        <v>0</v>
      </c>
      <c r="G70">
        <v>0</v>
      </c>
      <c r="H70">
        <v>25.958300000000001</v>
      </c>
      <c r="I70">
        <v>0</v>
      </c>
    </row>
    <row r="71" spans="1:9" x14ac:dyDescent="0.35">
      <c r="A71" t="s">
        <v>13</v>
      </c>
      <c r="B71" t="s">
        <v>39</v>
      </c>
      <c r="C71" t="s">
        <v>11</v>
      </c>
      <c r="D71" t="s">
        <v>24</v>
      </c>
      <c r="E71">
        <v>25.957999999999998</v>
      </c>
      <c r="F71">
        <v>0</v>
      </c>
      <c r="G71">
        <v>0</v>
      </c>
      <c r="H71">
        <v>25.958300000000001</v>
      </c>
      <c r="I71">
        <v>0</v>
      </c>
    </row>
    <row r="72" spans="1:9" x14ac:dyDescent="0.35">
      <c r="A72" t="s">
        <v>14</v>
      </c>
      <c r="B72" t="s">
        <v>39</v>
      </c>
      <c r="C72" t="s">
        <v>11</v>
      </c>
      <c r="D72" t="s">
        <v>24</v>
      </c>
      <c r="E72">
        <v>25.957999999999998</v>
      </c>
      <c r="F72">
        <v>0</v>
      </c>
      <c r="G72">
        <v>0</v>
      </c>
      <c r="H72">
        <v>25.958300000000001</v>
      </c>
      <c r="I72">
        <v>0</v>
      </c>
    </row>
    <row r="73" spans="1:9" x14ac:dyDescent="0.35">
      <c r="A73" t="s">
        <v>15</v>
      </c>
      <c r="B73" t="s">
        <v>15</v>
      </c>
      <c r="C73" t="s">
        <v>15</v>
      </c>
      <c r="D73" t="s">
        <v>15</v>
      </c>
    </row>
    <row r="74" spans="1:9" x14ac:dyDescent="0.35">
      <c r="A74" t="s">
        <v>9</v>
      </c>
      <c r="B74" t="s">
        <v>40</v>
      </c>
      <c r="C74" t="s">
        <v>11</v>
      </c>
      <c r="D74" t="s">
        <v>22</v>
      </c>
      <c r="E74">
        <v>26.212</v>
      </c>
      <c r="F74">
        <v>0</v>
      </c>
      <c r="G74">
        <v>0</v>
      </c>
      <c r="H74">
        <v>26.212299999999999</v>
      </c>
      <c r="I74">
        <v>0</v>
      </c>
    </row>
    <row r="75" spans="1:9" x14ac:dyDescent="0.35">
      <c r="A75" t="s">
        <v>13</v>
      </c>
      <c r="B75" t="s">
        <v>40</v>
      </c>
      <c r="C75" t="s">
        <v>11</v>
      </c>
      <c r="D75" t="s">
        <v>22</v>
      </c>
      <c r="E75">
        <v>26.212</v>
      </c>
      <c r="F75">
        <v>0</v>
      </c>
      <c r="G75">
        <v>0</v>
      </c>
      <c r="H75">
        <v>26.212299999999999</v>
      </c>
      <c r="I75">
        <v>0</v>
      </c>
    </row>
    <row r="76" spans="1:9" x14ac:dyDescent="0.35">
      <c r="A76" t="s">
        <v>14</v>
      </c>
      <c r="B76" t="s">
        <v>40</v>
      </c>
      <c r="C76" t="s">
        <v>11</v>
      </c>
      <c r="D76" t="s">
        <v>22</v>
      </c>
      <c r="E76">
        <v>26.212</v>
      </c>
      <c r="F76">
        <v>0</v>
      </c>
      <c r="G76">
        <v>0</v>
      </c>
      <c r="H76">
        <v>26.212299999999999</v>
      </c>
      <c r="I76">
        <v>0</v>
      </c>
    </row>
    <row r="77" spans="1:9" x14ac:dyDescent="0.35">
      <c r="A77" t="s">
        <v>15</v>
      </c>
      <c r="B77" t="s">
        <v>15</v>
      </c>
      <c r="C77" t="s">
        <v>15</v>
      </c>
      <c r="D77" t="s">
        <v>15</v>
      </c>
    </row>
    <row r="78" spans="1:9" x14ac:dyDescent="0.35">
      <c r="A78" t="s">
        <v>9</v>
      </c>
      <c r="B78" t="s">
        <v>41</v>
      </c>
      <c r="C78" t="s">
        <v>11</v>
      </c>
      <c r="D78" t="s">
        <v>22</v>
      </c>
      <c r="E78">
        <v>26.212</v>
      </c>
      <c r="F78">
        <v>0</v>
      </c>
      <c r="G78">
        <v>0</v>
      </c>
      <c r="H78">
        <v>26.212299999999999</v>
      </c>
      <c r="I78">
        <v>0</v>
      </c>
    </row>
    <row r="79" spans="1:9" x14ac:dyDescent="0.35">
      <c r="A79" t="s">
        <v>13</v>
      </c>
      <c r="B79" t="s">
        <v>41</v>
      </c>
      <c r="C79" t="s">
        <v>11</v>
      </c>
      <c r="D79" t="s">
        <v>22</v>
      </c>
      <c r="E79">
        <v>26.212</v>
      </c>
      <c r="F79">
        <v>0</v>
      </c>
      <c r="G79">
        <v>0</v>
      </c>
      <c r="H79">
        <v>26.212299999999999</v>
      </c>
      <c r="I79">
        <v>0</v>
      </c>
    </row>
    <row r="80" spans="1:9" x14ac:dyDescent="0.35">
      <c r="A80" t="s">
        <v>14</v>
      </c>
      <c r="B80" t="s">
        <v>41</v>
      </c>
      <c r="C80" t="s">
        <v>11</v>
      </c>
      <c r="D80" t="s">
        <v>22</v>
      </c>
      <c r="E80">
        <v>26.212</v>
      </c>
      <c r="F80">
        <v>0</v>
      </c>
      <c r="G80">
        <v>0</v>
      </c>
      <c r="H80">
        <v>26.212299999999999</v>
      </c>
      <c r="I80">
        <v>0</v>
      </c>
    </row>
    <row r="81" spans="1:9" x14ac:dyDescent="0.35">
      <c r="A81" t="s">
        <v>15</v>
      </c>
      <c r="B81" t="s">
        <v>15</v>
      </c>
      <c r="C81" t="s">
        <v>15</v>
      </c>
      <c r="D81" t="s">
        <v>15</v>
      </c>
    </row>
    <row r="82" spans="1:9" x14ac:dyDescent="0.35">
      <c r="A82" t="s">
        <v>9</v>
      </c>
      <c r="B82" t="s">
        <v>42</v>
      </c>
      <c r="C82" t="s">
        <v>43</v>
      </c>
      <c r="D82" t="s">
        <v>44</v>
      </c>
      <c r="E82">
        <v>26.212</v>
      </c>
      <c r="F82">
        <v>0</v>
      </c>
      <c r="G82">
        <v>0</v>
      </c>
      <c r="H82">
        <v>26.212299999999999</v>
      </c>
      <c r="I82">
        <v>0</v>
      </c>
    </row>
    <row r="83" spans="1:9" x14ac:dyDescent="0.35">
      <c r="A83" t="s">
        <v>13</v>
      </c>
      <c r="B83" t="s">
        <v>42</v>
      </c>
      <c r="C83" t="s">
        <v>43</v>
      </c>
      <c r="D83" t="s">
        <v>44</v>
      </c>
      <c r="E83">
        <v>27.736000000000001</v>
      </c>
      <c r="F83">
        <v>0</v>
      </c>
      <c r="G83">
        <v>0</v>
      </c>
      <c r="H83">
        <v>27.7363</v>
      </c>
      <c r="I83">
        <v>0</v>
      </c>
    </row>
    <row r="84" spans="1:9" x14ac:dyDescent="0.35">
      <c r="A84" t="s">
        <v>14</v>
      </c>
      <c r="B84" t="s">
        <v>42</v>
      </c>
      <c r="C84" t="s">
        <v>43</v>
      </c>
      <c r="D84" t="s">
        <v>44</v>
      </c>
      <c r="E84">
        <v>29.26</v>
      </c>
      <c r="F84">
        <v>0</v>
      </c>
      <c r="G84">
        <v>0</v>
      </c>
      <c r="H84">
        <v>29.260300000000001</v>
      </c>
      <c r="I84">
        <v>0</v>
      </c>
    </row>
    <row r="85" spans="1:9" x14ac:dyDescent="0.35">
      <c r="A85" t="s">
        <v>15</v>
      </c>
      <c r="B85" t="s">
        <v>15</v>
      </c>
      <c r="C85" t="s">
        <v>15</v>
      </c>
      <c r="D85" t="s">
        <v>15</v>
      </c>
    </row>
    <row r="86" spans="1:9" x14ac:dyDescent="0.35">
      <c r="A86" t="s">
        <v>9</v>
      </c>
      <c r="B86" t="s">
        <v>45</v>
      </c>
      <c r="C86" t="s">
        <v>11</v>
      </c>
      <c r="D86" t="s">
        <v>22</v>
      </c>
      <c r="E86">
        <v>29.337</v>
      </c>
      <c r="F86">
        <v>0</v>
      </c>
      <c r="G86">
        <v>0</v>
      </c>
      <c r="H86">
        <v>29.336500000000001</v>
      </c>
      <c r="I86">
        <v>0</v>
      </c>
    </row>
    <row r="87" spans="1:9" x14ac:dyDescent="0.35">
      <c r="A87" t="s">
        <v>13</v>
      </c>
      <c r="B87" t="s">
        <v>45</v>
      </c>
      <c r="C87" t="s">
        <v>11</v>
      </c>
      <c r="D87" t="s">
        <v>22</v>
      </c>
      <c r="E87">
        <v>29.337</v>
      </c>
      <c r="F87">
        <v>0</v>
      </c>
      <c r="G87">
        <v>0</v>
      </c>
      <c r="H87">
        <v>29.336500000000001</v>
      </c>
      <c r="I87">
        <v>0</v>
      </c>
    </row>
    <row r="88" spans="1:9" x14ac:dyDescent="0.35">
      <c r="A88" t="s">
        <v>14</v>
      </c>
      <c r="B88" t="s">
        <v>45</v>
      </c>
      <c r="C88" t="s">
        <v>11</v>
      </c>
      <c r="D88" t="s">
        <v>22</v>
      </c>
      <c r="E88">
        <v>29.337</v>
      </c>
      <c r="F88">
        <v>0</v>
      </c>
      <c r="G88">
        <v>0</v>
      </c>
      <c r="H88">
        <v>29.336500000000001</v>
      </c>
      <c r="I88">
        <v>0</v>
      </c>
    </row>
    <row r="89" spans="1:9" x14ac:dyDescent="0.35">
      <c r="A89" t="s">
        <v>15</v>
      </c>
      <c r="B89" t="s">
        <v>15</v>
      </c>
      <c r="C89" t="s">
        <v>15</v>
      </c>
      <c r="D89" t="s">
        <v>15</v>
      </c>
    </row>
    <row r="90" spans="1:9" x14ac:dyDescent="0.35">
      <c r="A90" t="s">
        <v>9</v>
      </c>
      <c r="B90" t="s">
        <v>46</v>
      </c>
      <c r="C90" t="s">
        <v>27</v>
      </c>
      <c r="D90" t="s">
        <v>44</v>
      </c>
      <c r="E90">
        <v>29.337</v>
      </c>
      <c r="F90">
        <v>0</v>
      </c>
      <c r="G90">
        <v>0</v>
      </c>
      <c r="H90">
        <v>29.336500000000001</v>
      </c>
      <c r="I90">
        <v>0</v>
      </c>
    </row>
    <row r="91" spans="1:9" x14ac:dyDescent="0.35">
      <c r="A91" t="s">
        <v>13</v>
      </c>
      <c r="B91" t="s">
        <v>46</v>
      </c>
      <c r="C91" t="s">
        <v>27</v>
      </c>
      <c r="D91" t="s">
        <v>44</v>
      </c>
      <c r="E91">
        <v>30.861000000000001</v>
      </c>
      <c r="F91">
        <v>-4.4999999999999999E-4</v>
      </c>
      <c r="G91">
        <v>0</v>
      </c>
      <c r="H91">
        <v>30.860499999999998</v>
      </c>
      <c r="I91">
        <v>0</v>
      </c>
    </row>
    <row r="92" spans="1:9" x14ac:dyDescent="0.35">
      <c r="A92" t="s">
        <v>14</v>
      </c>
      <c r="B92" t="s">
        <v>46</v>
      </c>
      <c r="C92" t="s">
        <v>27</v>
      </c>
      <c r="D92" t="s">
        <v>44</v>
      </c>
      <c r="E92">
        <v>32.384999999999998</v>
      </c>
      <c r="F92">
        <v>-8.9999999999999998E-4</v>
      </c>
      <c r="G92">
        <v>0</v>
      </c>
      <c r="H92">
        <v>32.384500000000003</v>
      </c>
      <c r="I92">
        <v>0</v>
      </c>
    </row>
    <row r="93" spans="1:9" x14ac:dyDescent="0.35">
      <c r="A93" t="s">
        <v>15</v>
      </c>
      <c r="B93" t="s">
        <v>15</v>
      </c>
      <c r="C93" t="s">
        <v>15</v>
      </c>
      <c r="D93" t="s">
        <v>15</v>
      </c>
    </row>
    <row r="94" spans="1:9" x14ac:dyDescent="0.35">
      <c r="A94" t="s">
        <v>9</v>
      </c>
      <c r="B94" t="s">
        <v>47</v>
      </c>
      <c r="C94" t="s">
        <v>27</v>
      </c>
      <c r="D94" t="s">
        <v>44</v>
      </c>
      <c r="E94">
        <v>32.485999999999997</v>
      </c>
      <c r="F94">
        <v>-1E-3</v>
      </c>
      <c r="G94">
        <v>0</v>
      </c>
      <c r="H94">
        <v>32.4861</v>
      </c>
      <c r="I94">
        <v>0</v>
      </c>
    </row>
    <row r="95" spans="1:9" x14ac:dyDescent="0.35">
      <c r="A95" t="s">
        <v>13</v>
      </c>
      <c r="B95" t="s">
        <v>47</v>
      </c>
      <c r="C95" t="s">
        <v>27</v>
      </c>
      <c r="D95" t="s">
        <v>44</v>
      </c>
      <c r="E95">
        <v>34.01</v>
      </c>
      <c r="F95">
        <v>-2.3999999999999998E-3</v>
      </c>
      <c r="G95">
        <v>0</v>
      </c>
      <c r="H95">
        <v>34.010100000000001</v>
      </c>
      <c r="I95">
        <v>0</v>
      </c>
    </row>
    <row r="96" spans="1:9" x14ac:dyDescent="0.35">
      <c r="A96" t="s">
        <v>14</v>
      </c>
      <c r="B96" t="s">
        <v>47</v>
      </c>
      <c r="C96" t="s">
        <v>27</v>
      </c>
      <c r="D96" t="s">
        <v>44</v>
      </c>
      <c r="E96">
        <v>35.533999999999999</v>
      </c>
      <c r="F96">
        <v>-3.8E-3</v>
      </c>
      <c r="G96">
        <v>0</v>
      </c>
      <c r="H96">
        <v>35.534100000000002</v>
      </c>
      <c r="I96">
        <v>0</v>
      </c>
    </row>
    <row r="97" spans="1:9" x14ac:dyDescent="0.35">
      <c r="A97" t="s">
        <v>15</v>
      </c>
      <c r="B97" t="s">
        <v>15</v>
      </c>
      <c r="C97" t="s">
        <v>15</v>
      </c>
      <c r="D97" t="s">
        <v>15</v>
      </c>
    </row>
    <row r="98" spans="1:9" x14ac:dyDescent="0.35">
      <c r="A98" t="s">
        <v>9</v>
      </c>
      <c r="B98" t="s">
        <v>48</v>
      </c>
      <c r="C98" t="s">
        <v>27</v>
      </c>
      <c r="D98" t="s">
        <v>44</v>
      </c>
      <c r="E98">
        <v>35.636000000000003</v>
      </c>
      <c r="F98">
        <v>-3.8999999999999998E-3</v>
      </c>
      <c r="G98">
        <v>0</v>
      </c>
      <c r="H98">
        <v>35.6357</v>
      </c>
      <c r="I98">
        <v>0</v>
      </c>
    </row>
    <row r="99" spans="1:9" x14ac:dyDescent="0.35">
      <c r="A99" t="s">
        <v>13</v>
      </c>
      <c r="B99" t="s">
        <v>48</v>
      </c>
      <c r="C99" t="s">
        <v>27</v>
      </c>
      <c r="D99" t="s">
        <v>44</v>
      </c>
      <c r="E99">
        <v>37.159999999999997</v>
      </c>
      <c r="F99">
        <v>-6.2500000000000003E-3</v>
      </c>
      <c r="G99">
        <v>0</v>
      </c>
      <c r="H99">
        <v>37.159700000000001</v>
      </c>
      <c r="I99">
        <v>0</v>
      </c>
    </row>
    <row r="100" spans="1:9" x14ac:dyDescent="0.35">
      <c r="A100" t="s">
        <v>14</v>
      </c>
      <c r="B100" t="s">
        <v>48</v>
      </c>
      <c r="C100" t="s">
        <v>27</v>
      </c>
      <c r="D100" t="s">
        <v>44</v>
      </c>
      <c r="E100">
        <v>38.683999999999997</v>
      </c>
      <c r="F100">
        <v>-8.6E-3</v>
      </c>
      <c r="G100">
        <v>0</v>
      </c>
      <c r="H100">
        <v>38.683700000000002</v>
      </c>
      <c r="I100">
        <v>0</v>
      </c>
    </row>
    <row r="101" spans="1:9" x14ac:dyDescent="0.35">
      <c r="A101" t="s">
        <v>15</v>
      </c>
      <c r="B101" t="s">
        <v>15</v>
      </c>
      <c r="C101" t="s">
        <v>15</v>
      </c>
      <c r="D101" t="s">
        <v>15</v>
      </c>
    </row>
    <row r="102" spans="1:9" x14ac:dyDescent="0.35">
      <c r="A102" t="s">
        <v>9</v>
      </c>
      <c r="B102" t="s">
        <v>49</v>
      </c>
      <c r="C102" t="s">
        <v>27</v>
      </c>
      <c r="D102" t="s">
        <v>44</v>
      </c>
      <c r="E102">
        <v>38.784999999999997</v>
      </c>
      <c r="F102">
        <v>-8.8000000000000005E-3</v>
      </c>
      <c r="G102">
        <v>0</v>
      </c>
      <c r="H102">
        <v>38.785299999999999</v>
      </c>
      <c r="I102">
        <v>0</v>
      </c>
    </row>
    <row r="103" spans="1:9" x14ac:dyDescent="0.35">
      <c r="A103" t="s">
        <v>13</v>
      </c>
      <c r="B103" t="s">
        <v>49</v>
      </c>
      <c r="C103" t="s">
        <v>27</v>
      </c>
      <c r="D103" t="s">
        <v>44</v>
      </c>
      <c r="E103">
        <v>40.308999999999997</v>
      </c>
      <c r="F103">
        <v>-1.21E-2</v>
      </c>
      <c r="G103">
        <v>0</v>
      </c>
      <c r="H103">
        <v>40.3093</v>
      </c>
      <c r="I103">
        <v>0</v>
      </c>
    </row>
    <row r="104" spans="1:9" x14ac:dyDescent="0.35">
      <c r="A104" t="s">
        <v>14</v>
      </c>
      <c r="B104" t="s">
        <v>49</v>
      </c>
      <c r="C104" t="s">
        <v>27</v>
      </c>
      <c r="D104" t="s">
        <v>44</v>
      </c>
      <c r="E104">
        <v>41.832999999999998</v>
      </c>
      <c r="F104">
        <v>-1.54E-2</v>
      </c>
      <c r="G104">
        <v>0</v>
      </c>
      <c r="H104">
        <v>41.833300000000001</v>
      </c>
      <c r="I104">
        <v>0</v>
      </c>
    </row>
    <row r="105" spans="1:9" x14ac:dyDescent="0.35">
      <c r="A105" t="s">
        <v>15</v>
      </c>
      <c r="B105" t="s">
        <v>15</v>
      </c>
      <c r="C105" t="s">
        <v>15</v>
      </c>
      <c r="D105" t="s">
        <v>15</v>
      </c>
    </row>
    <row r="106" spans="1:9" x14ac:dyDescent="0.35">
      <c r="A106" t="s">
        <v>9</v>
      </c>
      <c r="B106" t="s">
        <v>50</v>
      </c>
      <c r="C106" t="s">
        <v>27</v>
      </c>
      <c r="D106" t="s">
        <v>44</v>
      </c>
      <c r="E106">
        <v>41.935000000000002</v>
      </c>
      <c r="F106">
        <v>-1.5699999999999999E-2</v>
      </c>
      <c r="G106">
        <v>0</v>
      </c>
      <c r="H106">
        <v>41.934899999999999</v>
      </c>
      <c r="I106">
        <v>0</v>
      </c>
    </row>
    <row r="107" spans="1:9" x14ac:dyDescent="0.35">
      <c r="A107" t="s">
        <v>13</v>
      </c>
      <c r="B107" t="s">
        <v>50</v>
      </c>
      <c r="C107" t="s">
        <v>27</v>
      </c>
      <c r="D107" t="s">
        <v>44</v>
      </c>
      <c r="E107">
        <v>43.459000000000003</v>
      </c>
      <c r="F107">
        <v>-1.9900000000000001E-2</v>
      </c>
      <c r="G107">
        <v>0</v>
      </c>
      <c r="H107">
        <v>43.458849999999998</v>
      </c>
      <c r="I107">
        <v>0</v>
      </c>
    </row>
    <row r="108" spans="1:9" x14ac:dyDescent="0.35">
      <c r="A108" t="s">
        <v>14</v>
      </c>
      <c r="B108" t="s">
        <v>50</v>
      </c>
      <c r="C108" t="s">
        <v>27</v>
      </c>
      <c r="D108" t="s">
        <v>44</v>
      </c>
      <c r="E108">
        <v>44.982999999999997</v>
      </c>
      <c r="F108">
        <v>-2.41E-2</v>
      </c>
      <c r="G108">
        <v>0</v>
      </c>
      <c r="H108">
        <v>44.982799999999997</v>
      </c>
      <c r="I108">
        <v>0</v>
      </c>
    </row>
    <row r="109" spans="1:9" x14ac:dyDescent="0.35">
      <c r="A109" t="s">
        <v>15</v>
      </c>
      <c r="B109" t="s">
        <v>15</v>
      </c>
      <c r="C109" t="s">
        <v>15</v>
      </c>
      <c r="D109" t="s">
        <v>15</v>
      </c>
    </row>
    <row r="110" spans="1:9" x14ac:dyDescent="0.35">
      <c r="A110" t="s">
        <v>9</v>
      </c>
      <c r="B110" t="s">
        <v>51</v>
      </c>
      <c r="C110" t="s">
        <v>27</v>
      </c>
      <c r="D110" t="s">
        <v>44</v>
      </c>
      <c r="E110">
        <v>45.084000000000003</v>
      </c>
      <c r="F110">
        <v>-2.4400000000000002E-2</v>
      </c>
      <c r="G110">
        <v>0</v>
      </c>
      <c r="H110">
        <v>45.084400000000002</v>
      </c>
      <c r="I110">
        <v>0</v>
      </c>
    </row>
    <row r="111" spans="1:9" x14ac:dyDescent="0.35">
      <c r="A111" t="s">
        <v>13</v>
      </c>
      <c r="B111" t="s">
        <v>51</v>
      </c>
      <c r="C111" t="s">
        <v>27</v>
      </c>
      <c r="D111" t="s">
        <v>44</v>
      </c>
      <c r="E111">
        <v>46.607999999999997</v>
      </c>
      <c r="F111">
        <v>-2.9600000000000001E-2</v>
      </c>
      <c r="G111">
        <v>0</v>
      </c>
      <c r="H111">
        <v>46.608400000000003</v>
      </c>
      <c r="I111">
        <v>0</v>
      </c>
    </row>
    <row r="112" spans="1:9" x14ac:dyDescent="0.35">
      <c r="A112" t="s">
        <v>14</v>
      </c>
      <c r="B112" t="s">
        <v>51</v>
      </c>
      <c r="C112" t="s">
        <v>27</v>
      </c>
      <c r="D112" t="s">
        <v>44</v>
      </c>
      <c r="E112">
        <v>48.131999999999998</v>
      </c>
      <c r="F112">
        <v>-3.4799999999999998E-2</v>
      </c>
      <c r="G112">
        <v>0</v>
      </c>
      <c r="H112">
        <v>48.132399999999997</v>
      </c>
      <c r="I112">
        <v>0</v>
      </c>
    </row>
    <row r="113" spans="1:9" x14ac:dyDescent="0.35">
      <c r="A113" t="s">
        <v>15</v>
      </c>
      <c r="B113" t="s">
        <v>15</v>
      </c>
      <c r="C113" t="s">
        <v>15</v>
      </c>
      <c r="D113" t="s">
        <v>15</v>
      </c>
    </row>
    <row r="114" spans="1:9" x14ac:dyDescent="0.35">
      <c r="A114" t="s">
        <v>9</v>
      </c>
      <c r="B114" t="s">
        <v>52</v>
      </c>
      <c r="C114" t="s">
        <v>11</v>
      </c>
      <c r="D114" t="s">
        <v>22</v>
      </c>
      <c r="E114">
        <v>48.131999999999998</v>
      </c>
      <c r="F114">
        <v>-3.4799999999999998E-2</v>
      </c>
      <c r="G114">
        <v>0</v>
      </c>
      <c r="H114">
        <v>48.132399999999997</v>
      </c>
      <c r="I114">
        <v>0</v>
      </c>
    </row>
    <row r="115" spans="1:9" x14ac:dyDescent="0.35">
      <c r="A115" t="s">
        <v>13</v>
      </c>
      <c r="B115" t="s">
        <v>52</v>
      </c>
      <c r="C115" t="s">
        <v>11</v>
      </c>
      <c r="D115" t="s">
        <v>22</v>
      </c>
      <c r="E115">
        <v>48.131999999999998</v>
      </c>
      <c r="F115">
        <v>-3.4799999999999998E-2</v>
      </c>
      <c r="G115">
        <v>0</v>
      </c>
      <c r="H115">
        <v>48.132399999999997</v>
      </c>
      <c r="I115">
        <v>0</v>
      </c>
    </row>
    <row r="116" spans="1:9" x14ac:dyDescent="0.35">
      <c r="A116" t="s">
        <v>14</v>
      </c>
      <c r="B116" t="s">
        <v>52</v>
      </c>
      <c r="C116" t="s">
        <v>11</v>
      </c>
      <c r="D116" t="s">
        <v>22</v>
      </c>
      <c r="E116">
        <v>48.131999999999998</v>
      </c>
      <c r="F116">
        <v>-3.4799999999999998E-2</v>
      </c>
      <c r="G116">
        <v>0</v>
      </c>
      <c r="H116">
        <v>48.132399999999997</v>
      </c>
      <c r="I116">
        <v>0</v>
      </c>
    </row>
    <row r="117" spans="1:9" x14ac:dyDescent="0.35">
      <c r="A117" t="s">
        <v>15</v>
      </c>
      <c r="B117" t="s">
        <v>15</v>
      </c>
      <c r="C117" t="s">
        <v>15</v>
      </c>
      <c r="D117" t="s">
        <v>15</v>
      </c>
    </row>
    <row r="118" spans="1:9" x14ac:dyDescent="0.35">
      <c r="A118" t="s">
        <v>9</v>
      </c>
      <c r="B118" t="s">
        <v>53</v>
      </c>
      <c r="C118" t="s">
        <v>11</v>
      </c>
      <c r="D118" t="s">
        <v>35</v>
      </c>
      <c r="E118">
        <v>64.561999999999998</v>
      </c>
      <c r="F118">
        <v>-9.5600000000000004E-2</v>
      </c>
      <c r="G118">
        <v>0</v>
      </c>
      <c r="H118">
        <v>64.562299999999993</v>
      </c>
      <c r="I118">
        <v>0</v>
      </c>
    </row>
    <row r="119" spans="1:9" x14ac:dyDescent="0.35">
      <c r="A119" t="s">
        <v>13</v>
      </c>
      <c r="B119" t="s">
        <v>53</v>
      </c>
      <c r="C119" t="s">
        <v>11</v>
      </c>
      <c r="D119" t="s">
        <v>35</v>
      </c>
      <c r="E119">
        <v>64.561999999999998</v>
      </c>
      <c r="F119">
        <v>-9.5600000000000004E-2</v>
      </c>
      <c r="G119">
        <v>0</v>
      </c>
      <c r="H119">
        <v>64.562299999999993</v>
      </c>
      <c r="I119">
        <v>0</v>
      </c>
    </row>
    <row r="120" spans="1:9" x14ac:dyDescent="0.35">
      <c r="A120" t="s">
        <v>14</v>
      </c>
      <c r="B120" t="s">
        <v>53</v>
      </c>
      <c r="C120" t="s">
        <v>11</v>
      </c>
      <c r="D120" t="s">
        <v>35</v>
      </c>
      <c r="E120">
        <v>64.561999999999998</v>
      </c>
      <c r="F120">
        <v>-9.5600000000000004E-2</v>
      </c>
      <c r="G120">
        <v>0</v>
      </c>
      <c r="H120">
        <v>64.562299999999993</v>
      </c>
      <c r="I120">
        <v>0</v>
      </c>
    </row>
    <row r="121" spans="1:9" x14ac:dyDescent="0.35">
      <c r="A121" t="s">
        <v>15</v>
      </c>
      <c r="B121" t="s">
        <v>15</v>
      </c>
      <c r="C121" t="s">
        <v>15</v>
      </c>
      <c r="D121" t="s">
        <v>15</v>
      </c>
    </row>
    <row r="122" spans="1:9" x14ac:dyDescent="0.35">
      <c r="A122" t="s">
        <v>9</v>
      </c>
      <c r="B122" t="s">
        <v>54</v>
      </c>
      <c r="C122" t="s">
        <v>11</v>
      </c>
      <c r="D122" t="s">
        <v>19</v>
      </c>
      <c r="E122">
        <v>64.561999999999998</v>
      </c>
      <c r="F122">
        <v>-9.5600000000000004E-2</v>
      </c>
      <c r="G122">
        <v>0</v>
      </c>
      <c r="H122">
        <v>64.562299999999993</v>
      </c>
      <c r="I122">
        <v>0</v>
      </c>
    </row>
    <row r="123" spans="1:9" x14ac:dyDescent="0.35">
      <c r="A123" t="s">
        <v>13</v>
      </c>
      <c r="B123" t="s">
        <v>54</v>
      </c>
      <c r="C123" t="s">
        <v>11</v>
      </c>
      <c r="D123" t="s">
        <v>19</v>
      </c>
      <c r="E123">
        <v>64.561999999999998</v>
      </c>
      <c r="F123">
        <v>-9.5600000000000004E-2</v>
      </c>
      <c r="G123">
        <v>0</v>
      </c>
      <c r="H123">
        <v>64.562299999999993</v>
      </c>
      <c r="I123">
        <v>0</v>
      </c>
    </row>
    <row r="124" spans="1:9" x14ac:dyDescent="0.35">
      <c r="A124" t="s">
        <v>14</v>
      </c>
      <c r="B124" t="s">
        <v>54</v>
      </c>
      <c r="C124" t="s">
        <v>11</v>
      </c>
      <c r="D124" t="s">
        <v>19</v>
      </c>
      <c r="E124">
        <v>64.561999999999998</v>
      </c>
      <c r="F124">
        <v>-9.5600000000000004E-2</v>
      </c>
      <c r="G124">
        <v>0</v>
      </c>
      <c r="H124">
        <v>64.562299999999993</v>
      </c>
      <c r="I124">
        <v>0</v>
      </c>
    </row>
    <row r="125" spans="1:9" x14ac:dyDescent="0.35">
      <c r="A125" t="s">
        <v>15</v>
      </c>
      <c r="B125" t="s">
        <v>15</v>
      </c>
      <c r="C125" t="s">
        <v>15</v>
      </c>
      <c r="D125" t="s">
        <v>15</v>
      </c>
    </row>
    <row r="126" spans="1:9" x14ac:dyDescent="0.35">
      <c r="A126" t="s">
        <v>9</v>
      </c>
      <c r="B126" t="s">
        <v>55</v>
      </c>
      <c r="C126" t="s">
        <v>11</v>
      </c>
      <c r="D126" t="s">
        <v>56</v>
      </c>
      <c r="E126">
        <v>89.378</v>
      </c>
      <c r="F126">
        <v>-0.18740000000000001</v>
      </c>
      <c r="G126">
        <v>0</v>
      </c>
      <c r="H126">
        <v>89.378100000000003</v>
      </c>
      <c r="I126">
        <v>0</v>
      </c>
    </row>
    <row r="127" spans="1:9" x14ac:dyDescent="0.35">
      <c r="A127" t="s">
        <v>13</v>
      </c>
      <c r="B127" t="s">
        <v>55</v>
      </c>
      <c r="C127" t="s">
        <v>11</v>
      </c>
      <c r="D127" t="s">
        <v>56</v>
      </c>
      <c r="E127">
        <v>89.378</v>
      </c>
      <c r="F127">
        <v>-0.18740000000000001</v>
      </c>
      <c r="G127">
        <v>0</v>
      </c>
      <c r="H127">
        <v>89.378100000000003</v>
      </c>
      <c r="I127">
        <v>0</v>
      </c>
    </row>
    <row r="128" spans="1:9" x14ac:dyDescent="0.35">
      <c r="A128" t="s">
        <v>14</v>
      </c>
      <c r="B128" t="s">
        <v>55</v>
      </c>
      <c r="C128" t="s">
        <v>11</v>
      </c>
      <c r="D128" t="s">
        <v>56</v>
      </c>
      <c r="E128">
        <v>89.378</v>
      </c>
      <c r="F128">
        <v>-0.18740000000000001</v>
      </c>
      <c r="G128">
        <v>0</v>
      </c>
      <c r="H128">
        <v>89.378100000000003</v>
      </c>
      <c r="I128">
        <v>0</v>
      </c>
    </row>
    <row r="129" spans="1:9" x14ac:dyDescent="0.35">
      <c r="A129" t="s">
        <v>15</v>
      </c>
      <c r="B129" t="s">
        <v>15</v>
      </c>
      <c r="C129" t="s">
        <v>15</v>
      </c>
      <c r="D129" t="s">
        <v>15</v>
      </c>
    </row>
    <row r="130" spans="1:9" x14ac:dyDescent="0.35">
      <c r="A130" t="s">
        <v>9</v>
      </c>
      <c r="B130" t="s">
        <v>57</v>
      </c>
      <c r="C130" t="s">
        <v>11</v>
      </c>
      <c r="D130" t="s">
        <v>58</v>
      </c>
      <c r="E130">
        <v>89.593999999999994</v>
      </c>
      <c r="F130">
        <v>-0.18820000000000001</v>
      </c>
      <c r="G130">
        <v>0</v>
      </c>
      <c r="H130">
        <v>89.593999999999994</v>
      </c>
      <c r="I130">
        <v>0</v>
      </c>
    </row>
    <row r="131" spans="1:9" x14ac:dyDescent="0.35">
      <c r="A131" t="s">
        <v>13</v>
      </c>
      <c r="B131" t="s">
        <v>57</v>
      </c>
      <c r="C131" t="s">
        <v>11</v>
      </c>
      <c r="D131" t="s">
        <v>58</v>
      </c>
      <c r="E131">
        <v>89.593999999999994</v>
      </c>
      <c r="F131">
        <v>-0.18820000000000001</v>
      </c>
      <c r="G131">
        <v>0</v>
      </c>
      <c r="H131">
        <v>89.593999999999994</v>
      </c>
      <c r="I131">
        <v>0</v>
      </c>
    </row>
    <row r="132" spans="1:9" x14ac:dyDescent="0.35">
      <c r="A132" t="s">
        <v>14</v>
      </c>
      <c r="B132" t="s">
        <v>57</v>
      </c>
      <c r="C132" t="s">
        <v>11</v>
      </c>
      <c r="D132" t="s">
        <v>58</v>
      </c>
      <c r="E132">
        <v>89.593999999999994</v>
      </c>
      <c r="F132">
        <v>-0.18820000000000001</v>
      </c>
      <c r="G132">
        <v>0</v>
      </c>
      <c r="H132">
        <v>89.593999999999994</v>
      </c>
      <c r="I132">
        <v>0</v>
      </c>
    </row>
    <row r="133" spans="1:9" x14ac:dyDescent="0.35">
      <c r="A133" t="s">
        <v>15</v>
      </c>
      <c r="B133" t="s">
        <v>15</v>
      </c>
      <c r="C133" t="s">
        <v>15</v>
      </c>
      <c r="D133" t="s">
        <v>15</v>
      </c>
    </row>
    <row r="134" spans="1:9" x14ac:dyDescent="0.35">
      <c r="A134" t="s">
        <v>9</v>
      </c>
      <c r="B134" t="s">
        <v>55</v>
      </c>
      <c r="C134" t="s">
        <v>11</v>
      </c>
      <c r="D134" t="s">
        <v>56</v>
      </c>
      <c r="E134">
        <v>89.81</v>
      </c>
      <c r="F134">
        <v>-0.189</v>
      </c>
      <c r="G134">
        <v>0</v>
      </c>
      <c r="H134">
        <v>89.809899999999999</v>
      </c>
      <c r="I134">
        <v>0</v>
      </c>
    </row>
    <row r="135" spans="1:9" x14ac:dyDescent="0.35">
      <c r="A135" t="s">
        <v>13</v>
      </c>
      <c r="B135" t="s">
        <v>55</v>
      </c>
      <c r="C135" t="s">
        <v>11</v>
      </c>
      <c r="D135" t="s">
        <v>56</v>
      </c>
      <c r="E135">
        <v>89.81</v>
      </c>
      <c r="F135">
        <v>-0.189</v>
      </c>
      <c r="G135">
        <v>0</v>
      </c>
      <c r="H135">
        <v>89.809899999999999</v>
      </c>
      <c r="I135">
        <v>0</v>
      </c>
    </row>
    <row r="136" spans="1:9" x14ac:dyDescent="0.35">
      <c r="A136" t="s">
        <v>14</v>
      </c>
      <c r="B136" t="s">
        <v>55</v>
      </c>
      <c r="C136" t="s">
        <v>11</v>
      </c>
      <c r="D136" t="s">
        <v>56</v>
      </c>
      <c r="E136">
        <v>89.81</v>
      </c>
      <c r="F136">
        <v>-0.189</v>
      </c>
      <c r="G136">
        <v>0</v>
      </c>
      <c r="H136">
        <v>89.809899999999999</v>
      </c>
      <c r="I136">
        <v>0</v>
      </c>
    </row>
    <row r="137" spans="1:9" x14ac:dyDescent="0.35">
      <c r="A137" t="s">
        <v>15</v>
      </c>
      <c r="B137" t="s">
        <v>15</v>
      </c>
      <c r="C137" t="s">
        <v>15</v>
      </c>
      <c r="D137" t="s">
        <v>15</v>
      </c>
    </row>
    <row r="138" spans="1:9" x14ac:dyDescent="0.35">
      <c r="A138" t="s">
        <v>9</v>
      </c>
      <c r="B138" t="s">
        <v>59</v>
      </c>
      <c r="C138" t="s">
        <v>11</v>
      </c>
      <c r="D138" t="s">
        <v>24</v>
      </c>
      <c r="E138">
        <v>91.334000000000003</v>
      </c>
      <c r="F138">
        <v>-0.1946</v>
      </c>
      <c r="G138">
        <v>0</v>
      </c>
      <c r="H138">
        <v>91.3339</v>
      </c>
      <c r="I138">
        <v>0</v>
      </c>
    </row>
    <row r="139" spans="1:9" x14ac:dyDescent="0.35">
      <c r="A139" t="s">
        <v>13</v>
      </c>
      <c r="B139" t="s">
        <v>59</v>
      </c>
      <c r="C139" t="s">
        <v>11</v>
      </c>
      <c r="D139" t="s">
        <v>24</v>
      </c>
      <c r="E139">
        <v>91.334000000000003</v>
      </c>
      <c r="F139">
        <v>-0.1946</v>
      </c>
      <c r="G139">
        <v>0</v>
      </c>
      <c r="H139">
        <v>91.3339</v>
      </c>
      <c r="I139">
        <v>0</v>
      </c>
    </row>
    <row r="140" spans="1:9" x14ac:dyDescent="0.35">
      <c r="A140" t="s">
        <v>14</v>
      </c>
      <c r="B140" t="s">
        <v>59</v>
      </c>
      <c r="C140" t="s">
        <v>11</v>
      </c>
      <c r="D140" t="s">
        <v>24</v>
      </c>
      <c r="E140">
        <v>91.334000000000003</v>
      </c>
      <c r="F140">
        <v>-0.1946</v>
      </c>
      <c r="G140">
        <v>0</v>
      </c>
      <c r="H140">
        <v>91.3339</v>
      </c>
      <c r="I140">
        <v>0</v>
      </c>
    </row>
    <row r="141" spans="1:9" x14ac:dyDescent="0.35">
      <c r="A141" t="s">
        <v>15</v>
      </c>
      <c r="B141" t="s">
        <v>15</v>
      </c>
      <c r="C141" t="s">
        <v>15</v>
      </c>
      <c r="D141" t="s">
        <v>15</v>
      </c>
    </row>
    <row r="142" spans="1:9" x14ac:dyDescent="0.35">
      <c r="A142" t="s">
        <v>9</v>
      </c>
      <c r="B142" t="s">
        <v>60</v>
      </c>
      <c r="C142" t="s">
        <v>11</v>
      </c>
      <c r="D142" t="s">
        <v>22</v>
      </c>
      <c r="E142">
        <v>91.334000000000003</v>
      </c>
      <c r="F142">
        <v>-0.1946</v>
      </c>
      <c r="G142">
        <v>0</v>
      </c>
      <c r="H142">
        <v>91.3339</v>
      </c>
      <c r="I142">
        <v>0</v>
      </c>
    </row>
    <row r="143" spans="1:9" x14ac:dyDescent="0.35">
      <c r="A143" t="s">
        <v>13</v>
      </c>
      <c r="B143" t="s">
        <v>60</v>
      </c>
      <c r="C143" t="s">
        <v>11</v>
      </c>
      <c r="D143" t="s">
        <v>22</v>
      </c>
      <c r="E143">
        <v>91.334000000000003</v>
      </c>
      <c r="F143">
        <v>-0.1946</v>
      </c>
      <c r="G143">
        <v>0</v>
      </c>
      <c r="H143">
        <v>91.3339</v>
      </c>
      <c r="I143">
        <v>0</v>
      </c>
    </row>
    <row r="144" spans="1:9" x14ac:dyDescent="0.35">
      <c r="A144" t="s">
        <v>14</v>
      </c>
      <c r="B144" t="s">
        <v>60</v>
      </c>
      <c r="C144" t="s">
        <v>11</v>
      </c>
      <c r="D144" t="s">
        <v>22</v>
      </c>
      <c r="E144">
        <v>91.334000000000003</v>
      </c>
      <c r="F144">
        <v>-0.1946</v>
      </c>
      <c r="G144">
        <v>0</v>
      </c>
      <c r="H144">
        <v>91.3339</v>
      </c>
      <c r="I144">
        <v>0</v>
      </c>
    </row>
    <row r="145" spans="1:9" x14ac:dyDescent="0.35">
      <c r="A145" t="s">
        <v>15</v>
      </c>
      <c r="B145" t="s">
        <v>15</v>
      </c>
      <c r="C145" t="s">
        <v>15</v>
      </c>
      <c r="D145" t="s">
        <v>15</v>
      </c>
    </row>
    <row r="146" spans="1:9" x14ac:dyDescent="0.35">
      <c r="A146" t="s">
        <v>9</v>
      </c>
      <c r="B146" t="s">
        <v>55</v>
      </c>
      <c r="C146" t="s">
        <v>11</v>
      </c>
      <c r="D146" t="s">
        <v>56</v>
      </c>
      <c r="E146">
        <v>91.664000000000001</v>
      </c>
      <c r="F146">
        <v>-0.1958</v>
      </c>
      <c r="G146">
        <v>0</v>
      </c>
      <c r="H146">
        <v>91.664100000000005</v>
      </c>
      <c r="I146">
        <v>0</v>
      </c>
    </row>
    <row r="147" spans="1:9" x14ac:dyDescent="0.35">
      <c r="A147" t="s">
        <v>13</v>
      </c>
      <c r="B147" t="s">
        <v>55</v>
      </c>
      <c r="C147" t="s">
        <v>11</v>
      </c>
      <c r="D147" t="s">
        <v>56</v>
      </c>
      <c r="E147">
        <v>91.664000000000001</v>
      </c>
      <c r="F147">
        <v>-0.1958</v>
      </c>
      <c r="G147">
        <v>0</v>
      </c>
      <c r="H147">
        <v>91.664100000000005</v>
      </c>
      <c r="I147">
        <v>0</v>
      </c>
    </row>
    <row r="148" spans="1:9" x14ac:dyDescent="0.35">
      <c r="A148" t="s">
        <v>14</v>
      </c>
      <c r="B148" t="s">
        <v>55</v>
      </c>
      <c r="C148" t="s">
        <v>11</v>
      </c>
      <c r="D148" t="s">
        <v>56</v>
      </c>
      <c r="E148">
        <v>91.664000000000001</v>
      </c>
      <c r="F148">
        <v>-0.1958</v>
      </c>
      <c r="G148">
        <v>0</v>
      </c>
      <c r="H148">
        <v>91.664100000000005</v>
      </c>
      <c r="I148">
        <v>0</v>
      </c>
    </row>
    <row r="149" spans="1:9" x14ac:dyDescent="0.35">
      <c r="A149" t="s">
        <v>15</v>
      </c>
      <c r="B149" t="s">
        <v>15</v>
      </c>
      <c r="C149" t="s">
        <v>15</v>
      </c>
      <c r="D149" t="s">
        <v>15</v>
      </c>
    </row>
    <row r="150" spans="1:9" x14ac:dyDescent="0.35">
      <c r="A150" t="s">
        <v>9</v>
      </c>
      <c r="B150" t="s">
        <v>61</v>
      </c>
      <c r="C150" t="s">
        <v>43</v>
      </c>
      <c r="D150" t="s">
        <v>62</v>
      </c>
      <c r="E150">
        <v>91.69</v>
      </c>
      <c r="F150">
        <v>-0.19589999999999999</v>
      </c>
      <c r="G150">
        <v>0</v>
      </c>
      <c r="H150">
        <v>91.689499999999995</v>
      </c>
      <c r="I150">
        <v>0</v>
      </c>
    </row>
    <row r="151" spans="1:9" x14ac:dyDescent="0.35">
      <c r="A151" t="s">
        <v>13</v>
      </c>
      <c r="B151" t="s">
        <v>61</v>
      </c>
      <c r="C151" t="s">
        <v>43</v>
      </c>
      <c r="D151" t="s">
        <v>62</v>
      </c>
      <c r="E151">
        <v>91.816999999999993</v>
      </c>
      <c r="F151">
        <v>-0.19639999999999999</v>
      </c>
      <c r="G151">
        <v>0</v>
      </c>
      <c r="H151">
        <v>91.816450000000003</v>
      </c>
      <c r="I151">
        <v>0</v>
      </c>
    </row>
    <row r="152" spans="1:9" x14ac:dyDescent="0.35">
      <c r="A152" t="s">
        <v>14</v>
      </c>
      <c r="B152" t="s">
        <v>61</v>
      </c>
      <c r="C152" t="s">
        <v>43</v>
      </c>
      <c r="D152" t="s">
        <v>62</v>
      </c>
      <c r="E152">
        <v>91.944000000000003</v>
      </c>
      <c r="F152">
        <v>-0.19689999999999999</v>
      </c>
      <c r="G152">
        <v>0</v>
      </c>
      <c r="H152">
        <v>91.943399999999997</v>
      </c>
      <c r="I152">
        <v>0</v>
      </c>
    </row>
    <row r="153" spans="1:9" x14ac:dyDescent="0.35">
      <c r="A153" t="s">
        <v>15</v>
      </c>
      <c r="B153" t="s">
        <v>15</v>
      </c>
      <c r="C153" t="s">
        <v>15</v>
      </c>
      <c r="D153" t="s">
        <v>15</v>
      </c>
    </row>
    <row r="154" spans="1:9" x14ac:dyDescent="0.35">
      <c r="A154" t="s">
        <v>9</v>
      </c>
      <c r="B154" t="s">
        <v>55</v>
      </c>
      <c r="C154" t="s">
        <v>11</v>
      </c>
      <c r="D154" t="s">
        <v>56</v>
      </c>
      <c r="E154">
        <v>91.968999999999994</v>
      </c>
      <c r="F154">
        <v>-0.19700000000000001</v>
      </c>
      <c r="G154">
        <v>0</v>
      </c>
      <c r="H154">
        <v>91.968800000000002</v>
      </c>
      <c r="I154">
        <v>0</v>
      </c>
    </row>
    <row r="155" spans="1:9" x14ac:dyDescent="0.35">
      <c r="A155" t="s">
        <v>13</v>
      </c>
      <c r="B155" t="s">
        <v>55</v>
      </c>
      <c r="C155" t="s">
        <v>11</v>
      </c>
      <c r="D155" t="s">
        <v>56</v>
      </c>
      <c r="E155">
        <v>91.968999999999994</v>
      </c>
      <c r="F155">
        <v>-0.19700000000000001</v>
      </c>
      <c r="G155">
        <v>0</v>
      </c>
      <c r="H155">
        <v>91.968800000000002</v>
      </c>
      <c r="I155">
        <v>0</v>
      </c>
    </row>
    <row r="156" spans="1:9" x14ac:dyDescent="0.35">
      <c r="A156" t="s">
        <v>14</v>
      </c>
      <c r="B156" t="s">
        <v>55</v>
      </c>
      <c r="C156" t="s">
        <v>11</v>
      </c>
      <c r="D156" t="s">
        <v>56</v>
      </c>
      <c r="E156">
        <v>91.968999999999994</v>
      </c>
      <c r="F156">
        <v>-0.19700000000000001</v>
      </c>
      <c r="G156">
        <v>0</v>
      </c>
      <c r="H156">
        <v>91.968800000000002</v>
      </c>
      <c r="I156">
        <v>0</v>
      </c>
    </row>
    <row r="157" spans="1:9" x14ac:dyDescent="0.35">
      <c r="A157" t="s">
        <v>15</v>
      </c>
      <c r="B157" t="s">
        <v>15</v>
      </c>
      <c r="C157" t="s">
        <v>15</v>
      </c>
      <c r="D157" t="s">
        <v>15</v>
      </c>
    </row>
    <row r="158" spans="1:9" x14ac:dyDescent="0.35">
      <c r="A158" t="s">
        <v>9</v>
      </c>
      <c r="B158" t="s">
        <v>63</v>
      </c>
      <c r="C158" t="s">
        <v>11</v>
      </c>
      <c r="D158" t="s">
        <v>12</v>
      </c>
      <c r="E158">
        <v>114.529</v>
      </c>
      <c r="F158">
        <v>-0.28039999999999998</v>
      </c>
      <c r="G158">
        <v>0</v>
      </c>
      <c r="H158">
        <v>114.5286</v>
      </c>
      <c r="I158">
        <v>0</v>
      </c>
    </row>
    <row r="159" spans="1:9" x14ac:dyDescent="0.35">
      <c r="A159" t="s">
        <v>13</v>
      </c>
      <c r="B159" t="s">
        <v>63</v>
      </c>
      <c r="C159" t="s">
        <v>11</v>
      </c>
      <c r="D159" t="s">
        <v>12</v>
      </c>
      <c r="E159">
        <v>114.529</v>
      </c>
      <c r="F159">
        <v>-0.28039999999999998</v>
      </c>
      <c r="G159">
        <v>0</v>
      </c>
      <c r="H159">
        <v>114.5286</v>
      </c>
      <c r="I159">
        <v>0</v>
      </c>
    </row>
    <row r="160" spans="1:9" x14ac:dyDescent="0.35">
      <c r="A160" t="s">
        <v>14</v>
      </c>
      <c r="B160" t="s">
        <v>63</v>
      </c>
      <c r="C160" t="s">
        <v>11</v>
      </c>
      <c r="D160" t="s">
        <v>12</v>
      </c>
      <c r="E160">
        <v>114.529</v>
      </c>
      <c r="F160">
        <v>-0.28039999999999998</v>
      </c>
      <c r="G160">
        <v>0</v>
      </c>
      <c r="H160">
        <v>114.5286</v>
      </c>
      <c r="I160">
        <v>0</v>
      </c>
    </row>
    <row r="161" spans="1:9" x14ac:dyDescent="0.35">
      <c r="A161" t="s">
        <v>15</v>
      </c>
      <c r="B161" t="s">
        <v>15</v>
      </c>
      <c r="C161" t="s">
        <v>15</v>
      </c>
      <c r="D161" t="s">
        <v>15</v>
      </c>
    </row>
    <row r="162" spans="1:9" x14ac:dyDescent="0.35">
      <c r="A162" t="s">
        <v>9</v>
      </c>
      <c r="B162" t="s">
        <v>64</v>
      </c>
      <c r="C162" t="s">
        <v>11</v>
      </c>
      <c r="D162" t="s">
        <v>19</v>
      </c>
      <c r="E162">
        <v>118.729</v>
      </c>
      <c r="F162">
        <v>-0.29599999999999999</v>
      </c>
      <c r="G162">
        <v>0</v>
      </c>
      <c r="H162">
        <v>118.7285</v>
      </c>
      <c r="I162">
        <v>0</v>
      </c>
    </row>
    <row r="163" spans="1:9" x14ac:dyDescent="0.35">
      <c r="A163" t="s">
        <v>13</v>
      </c>
      <c r="B163" t="s">
        <v>64</v>
      </c>
      <c r="C163" t="s">
        <v>11</v>
      </c>
      <c r="D163" t="s">
        <v>19</v>
      </c>
      <c r="E163">
        <v>118.729</v>
      </c>
      <c r="F163">
        <v>-0.29599999999999999</v>
      </c>
      <c r="G163">
        <v>0</v>
      </c>
      <c r="H163">
        <v>118.7285</v>
      </c>
      <c r="I163">
        <v>0</v>
      </c>
    </row>
    <row r="164" spans="1:9" x14ac:dyDescent="0.35">
      <c r="A164" t="s">
        <v>14</v>
      </c>
      <c r="B164" t="s">
        <v>64</v>
      </c>
      <c r="C164" t="s">
        <v>11</v>
      </c>
      <c r="D164" t="s">
        <v>19</v>
      </c>
      <c r="E164">
        <v>118.729</v>
      </c>
      <c r="F164">
        <v>-0.29599999999999999</v>
      </c>
      <c r="G164">
        <v>0</v>
      </c>
      <c r="H164">
        <v>118.7285</v>
      </c>
      <c r="I164">
        <v>0</v>
      </c>
    </row>
    <row r="165" spans="1:9" x14ac:dyDescent="0.35">
      <c r="A165" t="s">
        <v>15</v>
      </c>
      <c r="B165" t="s">
        <v>15</v>
      </c>
      <c r="C165" t="s">
        <v>15</v>
      </c>
      <c r="D165" t="s">
        <v>15</v>
      </c>
    </row>
    <row r="166" spans="1:9" x14ac:dyDescent="0.35">
      <c r="A166" t="s">
        <v>9</v>
      </c>
      <c r="B166" t="s">
        <v>65</v>
      </c>
      <c r="C166" t="s">
        <v>66</v>
      </c>
      <c r="D166" t="s">
        <v>67</v>
      </c>
      <c r="E166">
        <v>123.081</v>
      </c>
      <c r="F166">
        <v>-0.31209999999999999</v>
      </c>
      <c r="G166">
        <v>0</v>
      </c>
      <c r="H166">
        <v>123.0808</v>
      </c>
      <c r="I166">
        <v>0</v>
      </c>
    </row>
    <row r="167" spans="1:9" x14ac:dyDescent="0.35">
      <c r="A167" t="s">
        <v>13</v>
      </c>
      <c r="B167" t="s">
        <v>65</v>
      </c>
      <c r="C167" t="s">
        <v>66</v>
      </c>
      <c r="D167" t="s">
        <v>67</v>
      </c>
      <c r="E167">
        <v>124.605</v>
      </c>
      <c r="F167">
        <v>-0.31774999999999998</v>
      </c>
      <c r="G167">
        <v>0</v>
      </c>
      <c r="H167">
        <v>124.6048</v>
      </c>
      <c r="I167">
        <v>0</v>
      </c>
    </row>
    <row r="168" spans="1:9" x14ac:dyDescent="0.35">
      <c r="A168" t="s">
        <v>14</v>
      </c>
      <c r="B168" t="s">
        <v>65</v>
      </c>
      <c r="C168" t="s">
        <v>66</v>
      </c>
      <c r="D168" t="s">
        <v>67</v>
      </c>
      <c r="E168">
        <v>126.129</v>
      </c>
      <c r="F168">
        <v>-0.32340000000000002</v>
      </c>
      <c r="G168">
        <v>0</v>
      </c>
      <c r="H168">
        <v>126.1288</v>
      </c>
      <c r="I168">
        <v>0</v>
      </c>
    </row>
    <row r="169" spans="1:9" x14ac:dyDescent="0.35">
      <c r="A169" t="s">
        <v>15</v>
      </c>
      <c r="B169" t="s">
        <v>15</v>
      </c>
      <c r="C169" t="s">
        <v>15</v>
      </c>
      <c r="D169" t="s">
        <v>15</v>
      </c>
    </row>
    <row r="170" spans="1:9" x14ac:dyDescent="0.35">
      <c r="A170" t="s">
        <v>9</v>
      </c>
      <c r="B170" t="s">
        <v>68</v>
      </c>
      <c r="C170" t="s">
        <v>66</v>
      </c>
      <c r="D170" t="s">
        <v>67</v>
      </c>
      <c r="E170">
        <v>126.434</v>
      </c>
      <c r="F170">
        <v>-0.32450000000000001</v>
      </c>
      <c r="G170">
        <v>0</v>
      </c>
      <c r="H170">
        <v>126.4336</v>
      </c>
      <c r="I170">
        <v>0</v>
      </c>
    </row>
    <row r="171" spans="1:9" x14ac:dyDescent="0.35">
      <c r="A171" t="s">
        <v>13</v>
      </c>
      <c r="B171" t="s">
        <v>68</v>
      </c>
      <c r="C171" t="s">
        <v>66</v>
      </c>
      <c r="D171" t="s">
        <v>67</v>
      </c>
      <c r="E171">
        <v>127.958</v>
      </c>
      <c r="F171">
        <v>-0.33015</v>
      </c>
      <c r="G171">
        <v>0</v>
      </c>
      <c r="H171">
        <v>127.9576</v>
      </c>
      <c r="I171">
        <v>0</v>
      </c>
    </row>
    <row r="172" spans="1:9" x14ac:dyDescent="0.35">
      <c r="A172" t="s">
        <v>14</v>
      </c>
      <c r="B172" t="s">
        <v>68</v>
      </c>
      <c r="C172" t="s">
        <v>66</v>
      </c>
      <c r="D172" t="s">
        <v>67</v>
      </c>
      <c r="E172">
        <v>129.482</v>
      </c>
      <c r="F172">
        <v>-0.33579999999999999</v>
      </c>
      <c r="G172">
        <v>0</v>
      </c>
      <c r="H172">
        <v>129.48159999999999</v>
      </c>
      <c r="I172">
        <v>0</v>
      </c>
    </row>
    <row r="173" spans="1:9" x14ac:dyDescent="0.35">
      <c r="A173" t="s">
        <v>15</v>
      </c>
      <c r="B173" t="s">
        <v>15</v>
      </c>
      <c r="C173" t="s">
        <v>15</v>
      </c>
      <c r="D173" t="s">
        <v>15</v>
      </c>
    </row>
    <row r="174" spans="1:9" x14ac:dyDescent="0.35">
      <c r="A174" t="s">
        <v>9</v>
      </c>
      <c r="B174" t="s">
        <v>69</v>
      </c>
      <c r="C174" t="s">
        <v>27</v>
      </c>
      <c r="D174" t="s">
        <v>70</v>
      </c>
      <c r="E174">
        <v>129.78700000000001</v>
      </c>
      <c r="F174">
        <v>-0.33689999999999998</v>
      </c>
      <c r="G174">
        <v>0</v>
      </c>
      <c r="H174">
        <v>129.78639999999999</v>
      </c>
      <c r="I174">
        <v>-1.5</v>
      </c>
    </row>
    <row r="175" spans="1:9" x14ac:dyDescent="0.35">
      <c r="A175" t="s">
        <v>13</v>
      </c>
      <c r="B175" t="s">
        <v>69</v>
      </c>
      <c r="C175" t="s">
        <v>27</v>
      </c>
      <c r="D175" t="s">
        <v>70</v>
      </c>
      <c r="E175">
        <v>131.31100000000001</v>
      </c>
      <c r="F175">
        <v>-0.33650000000000002</v>
      </c>
      <c r="G175">
        <v>-1.4999999999999999E-4</v>
      </c>
      <c r="H175">
        <v>131.31039999999999</v>
      </c>
      <c r="I175">
        <v>-1.5</v>
      </c>
    </row>
    <row r="176" spans="1:9" x14ac:dyDescent="0.35">
      <c r="A176" t="s">
        <v>14</v>
      </c>
      <c r="B176" t="s">
        <v>69</v>
      </c>
      <c r="C176" t="s">
        <v>27</v>
      </c>
      <c r="D176" t="s">
        <v>70</v>
      </c>
      <c r="E176">
        <v>132.83500000000001</v>
      </c>
      <c r="F176">
        <v>-0.33610000000000001</v>
      </c>
      <c r="G176">
        <v>-2.9999999999999997E-4</v>
      </c>
      <c r="H176">
        <v>132.83439999999999</v>
      </c>
      <c r="I176">
        <v>-1.5</v>
      </c>
    </row>
    <row r="177" spans="1:9" x14ac:dyDescent="0.35">
      <c r="A177" t="s">
        <v>15</v>
      </c>
      <c r="B177" t="s">
        <v>15</v>
      </c>
      <c r="C177" t="s">
        <v>15</v>
      </c>
      <c r="D177" t="s">
        <v>15</v>
      </c>
    </row>
    <row r="178" spans="1:9" x14ac:dyDescent="0.35">
      <c r="A178" t="s">
        <v>9</v>
      </c>
      <c r="B178" t="s">
        <v>71</v>
      </c>
      <c r="C178" t="s">
        <v>27</v>
      </c>
      <c r="D178" t="s">
        <v>70</v>
      </c>
      <c r="E178">
        <v>133.13999999999999</v>
      </c>
      <c r="F178">
        <v>-0.33479999999999999</v>
      </c>
      <c r="G178">
        <v>-4.0000000000000002E-4</v>
      </c>
      <c r="H178">
        <v>133.13919999999999</v>
      </c>
      <c r="I178">
        <v>-1.5</v>
      </c>
    </row>
    <row r="179" spans="1:9" x14ac:dyDescent="0.35">
      <c r="A179" t="s">
        <v>13</v>
      </c>
      <c r="B179" t="s">
        <v>71</v>
      </c>
      <c r="C179" t="s">
        <v>27</v>
      </c>
      <c r="D179" t="s">
        <v>70</v>
      </c>
      <c r="E179">
        <v>134.66399999999999</v>
      </c>
      <c r="F179">
        <v>-0.32240000000000002</v>
      </c>
      <c r="G179">
        <v>-8.4999999999999995E-4</v>
      </c>
      <c r="H179">
        <v>134.66315</v>
      </c>
      <c r="I179">
        <v>-1.5</v>
      </c>
    </row>
    <row r="180" spans="1:9" x14ac:dyDescent="0.35">
      <c r="A180" t="s">
        <v>14</v>
      </c>
      <c r="B180" t="s">
        <v>71</v>
      </c>
      <c r="C180" t="s">
        <v>27</v>
      </c>
      <c r="D180" t="s">
        <v>70</v>
      </c>
      <c r="E180">
        <v>136.18799999999999</v>
      </c>
      <c r="F180">
        <v>-0.31</v>
      </c>
      <c r="G180">
        <v>-1.2999999999999999E-3</v>
      </c>
      <c r="H180">
        <v>136.18709999999999</v>
      </c>
      <c r="I180">
        <v>-1.5</v>
      </c>
    </row>
    <row r="181" spans="1:9" x14ac:dyDescent="0.35">
      <c r="A181" t="s">
        <v>15</v>
      </c>
      <c r="B181" t="s">
        <v>15</v>
      </c>
      <c r="C181" t="s">
        <v>15</v>
      </c>
      <c r="D181" t="s">
        <v>15</v>
      </c>
    </row>
    <row r="182" spans="1:9" x14ac:dyDescent="0.35">
      <c r="A182" t="s">
        <v>9</v>
      </c>
      <c r="B182" t="s">
        <v>72</v>
      </c>
      <c r="C182" t="s">
        <v>27</v>
      </c>
      <c r="D182" t="s">
        <v>73</v>
      </c>
      <c r="E182">
        <v>145.28200000000001</v>
      </c>
      <c r="F182">
        <v>-0.19980000000000001</v>
      </c>
      <c r="G182">
        <v>-5.1000000000000004E-3</v>
      </c>
      <c r="H182">
        <v>145.28030000000001</v>
      </c>
      <c r="I182">
        <v>-16.803000000000001</v>
      </c>
    </row>
    <row r="183" spans="1:9" x14ac:dyDescent="0.35">
      <c r="A183" t="s">
        <v>13</v>
      </c>
      <c r="B183" t="s">
        <v>72</v>
      </c>
      <c r="C183" t="s">
        <v>27</v>
      </c>
      <c r="D183" t="s">
        <v>73</v>
      </c>
      <c r="E183">
        <v>146.80600000000001</v>
      </c>
      <c r="F183">
        <v>-0.17765</v>
      </c>
      <c r="G183">
        <v>-6.8500000000000002E-3</v>
      </c>
      <c r="H183">
        <v>146.80414999999999</v>
      </c>
      <c r="I183">
        <v>-16.803000000000001</v>
      </c>
    </row>
    <row r="184" spans="1:9" x14ac:dyDescent="0.35">
      <c r="A184" t="s">
        <v>14</v>
      </c>
      <c r="B184" t="s">
        <v>72</v>
      </c>
      <c r="C184" t="s">
        <v>27</v>
      </c>
      <c r="D184" t="s">
        <v>73</v>
      </c>
      <c r="E184">
        <v>148.33000000000001</v>
      </c>
      <c r="F184">
        <v>-0.1555</v>
      </c>
      <c r="G184">
        <v>-8.6E-3</v>
      </c>
      <c r="H184">
        <v>148.328</v>
      </c>
      <c r="I184">
        <v>-16.803000000000001</v>
      </c>
    </row>
    <row r="185" spans="1:9" x14ac:dyDescent="0.35">
      <c r="A185" t="s">
        <v>15</v>
      </c>
      <c r="B185" t="s">
        <v>15</v>
      </c>
      <c r="C185" t="s">
        <v>15</v>
      </c>
      <c r="D185" t="s">
        <v>15</v>
      </c>
    </row>
    <row r="186" spans="1:9" x14ac:dyDescent="0.35">
      <c r="A186" t="s">
        <v>9</v>
      </c>
      <c r="B186" t="s">
        <v>74</v>
      </c>
      <c r="C186" t="s">
        <v>27</v>
      </c>
      <c r="D186" t="s">
        <v>73</v>
      </c>
      <c r="E186">
        <v>149.02000000000001</v>
      </c>
      <c r="F186">
        <v>-0.1439</v>
      </c>
      <c r="G186">
        <v>-9.9000000000000008E-3</v>
      </c>
      <c r="H186">
        <v>149.01859999999999</v>
      </c>
      <c r="I186">
        <v>-16.803000000000001</v>
      </c>
    </row>
    <row r="187" spans="1:9" x14ac:dyDescent="0.35">
      <c r="A187" t="s">
        <v>13</v>
      </c>
      <c r="B187" t="s">
        <v>74</v>
      </c>
      <c r="C187" t="s">
        <v>27</v>
      </c>
      <c r="D187" t="s">
        <v>73</v>
      </c>
      <c r="E187">
        <v>150.54400000000001</v>
      </c>
      <c r="F187">
        <v>-0.11445</v>
      </c>
      <c r="G187">
        <v>-1.38E-2</v>
      </c>
      <c r="H187">
        <v>150.54230000000001</v>
      </c>
      <c r="I187">
        <v>-16.803000000000001</v>
      </c>
    </row>
    <row r="188" spans="1:9" x14ac:dyDescent="0.35">
      <c r="A188" t="s">
        <v>14</v>
      </c>
      <c r="B188" t="s">
        <v>74</v>
      </c>
      <c r="C188" t="s">
        <v>27</v>
      </c>
      <c r="D188" t="s">
        <v>73</v>
      </c>
      <c r="E188">
        <v>152.06800000000001</v>
      </c>
      <c r="F188">
        <v>-8.5000000000000006E-2</v>
      </c>
      <c r="G188">
        <v>-1.77E-2</v>
      </c>
      <c r="H188">
        <v>152.066</v>
      </c>
      <c r="I188">
        <v>-16.803000000000001</v>
      </c>
    </row>
    <row r="189" spans="1:9" x14ac:dyDescent="0.35">
      <c r="A189" t="s">
        <v>15</v>
      </c>
      <c r="B189" t="s">
        <v>15</v>
      </c>
      <c r="C189" t="s">
        <v>15</v>
      </c>
      <c r="D189" t="s">
        <v>15</v>
      </c>
    </row>
    <row r="190" spans="1:9" x14ac:dyDescent="0.35">
      <c r="A190" t="s">
        <v>9</v>
      </c>
      <c r="B190" t="s">
        <v>75</v>
      </c>
      <c r="C190" t="s">
        <v>27</v>
      </c>
      <c r="D190" t="s">
        <v>73</v>
      </c>
      <c r="E190">
        <v>152.739</v>
      </c>
      <c r="F190">
        <v>-7.0400000000000004E-2</v>
      </c>
      <c r="G190">
        <v>-0.02</v>
      </c>
      <c r="H190">
        <v>152.73689999999999</v>
      </c>
      <c r="I190">
        <v>-16.803000000000001</v>
      </c>
    </row>
    <row r="191" spans="1:9" x14ac:dyDescent="0.35">
      <c r="A191" t="s">
        <v>13</v>
      </c>
      <c r="B191" t="s">
        <v>75</v>
      </c>
      <c r="C191" t="s">
        <v>27</v>
      </c>
      <c r="D191" t="s">
        <v>73</v>
      </c>
      <c r="E191">
        <v>154.26300000000001</v>
      </c>
      <c r="F191">
        <v>-3.3649999999999999E-2</v>
      </c>
      <c r="G191">
        <v>-2.615E-2</v>
      </c>
      <c r="H191">
        <v>154.26044999999999</v>
      </c>
      <c r="I191">
        <v>-16.803000000000001</v>
      </c>
    </row>
    <row r="192" spans="1:9" x14ac:dyDescent="0.35">
      <c r="A192" t="s">
        <v>14</v>
      </c>
      <c r="B192" t="s">
        <v>75</v>
      </c>
      <c r="C192" t="s">
        <v>27</v>
      </c>
      <c r="D192" t="s">
        <v>73</v>
      </c>
      <c r="E192">
        <v>155.78700000000001</v>
      </c>
      <c r="F192">
        <v>3.0999999999999999E-3</v>
      </c>
      <c r="G192">
        <v>-3.2300000000000002E-2</v>
      </c>
      <c r="H192">
        <v>155.78399999999999</v>
      </c>
      <c r="I192">
        <v>-16.803000000000001</v>
      </c>
    </row>
    <row r="193" spans="1:9" x14ac:dyDescent="0.35">
      <c r="A193" t="s">
        <v>15</v>
      </c>
      <c r="B193" t="s">
        <v>15</v>
      </c>
      <c r="C193" t="s">
        <v>15</v>
      </c>
      <c r="D193" t="s">
        <v>15</v>
      </c>
    </row>
    <row r="194" spans="1:9" x14ac:dyDescent="0.35">
      <c r="A194" t="s">
        <v>9</v>
      </c>
      <c r="B194" t="s">
        <v>76</v>
      </c>
      <c r="C194" t="s">
        <v>27</v>
      </c>
      <c r="D194" t="s">
        <v>77</v>
      </c>
      <c r="E194">
        <v>158.642</v>
      </c>
      <c r="F194">
        <v>7.8799999999999995E-2</v>
      </c>
      <c r="G194">
        <v>-4.5900000000000003E-2</v>
      </c>
      <c r="H194">
        <v>158.63730000000001</v>
      </c>
      <c r="I194">
        <v>-90</v>
      </c>
    </row>
    <row r="195" spans="1:9" x14ac:dyDescent="0.35">
      <c r="A195" t="s">
        <v>13</v>
      </c>
      <c r="B195" t="s">
        <v>76</v>
      </c>
      <c r="C195" t="s">
        <v>27</v>
      </c>
      <c r="D195" t="s">
        <v>77</v>
      </c>
      <c r="E195">
        <v>159.023</v>
      </c>
      <c r="F195">
        <v>8.8900000000000007E-2</v>
      </c>
      <c r="G195">
        <v>-4.7699999999999999E-2</v>
      </c>
      <c r="H195">
        <v>159.01814999999999</v>
      </c>
      <c r="I195">
        <v>-90</v>
      </c>
    </row>
    <row r="196" spans="1:9" x14ac:dyDescent="0.35">
      <c r="A196" t="s">
        <v>14</v>
      </c>
      <c r="B196" t="s">
        <v>76</v>
      </c>
      <c r="C196" t="s">
        <v>27</v>
      </c>
      <c r="D196" t="s">
        <v>77</v>
      </c>
      <c r="E196">
        <v>159.404</v>
      </c>
      <c r="F196">
        <v>9.9000000000000005E-2</v>
      </c>
      <c r="G196">
        <v>-4.9500000000000002E-2</v>
      </c>
      <c r="H196">
        <v>159.399</v>
      </c>
      <c r="I196">
        <v>-90</v>
      </c>
    </row>
    <row r="197" spans="1:9" x14ac:dyDescent="0.35">
      <c r="A197" t="s">
        <v>15</v>
      </c>
      <c r="B197" t="s">
        <v>15</v>
      </c>
      <c r="C197" t="s">
        <v>15</v>
      </c>
      <c r="D197" t="s">
        <v>15</v>
      </c>
    </row>
    <row r="198" spans="1:9" x14ac:dyDescent="0.35">
      <c r="A198" t="s">
        <v>9</v>
      </c>
      <c r="B198" t="s">
        <v>78</v>
      </c>
      <c r="C198" t="s">
        <v>11</v>
      </c>
      <c r="D198" t="s">
        <v>19</v>
      </c>
      <c r="E198">
        <v>177.07900000000001</v>
      </c>
      <c r="F198">
        <v>0.56759999999999999</v>
      </c>
      <c r="G198">
        <v>-0.13370000000000001</v>
      </c>
      <c r="H198">
        <v>177.0676</v>
      </c>
      <c r="I198">
        <v>0</v>
      </c>
    </row>
    <row r="199" spans="1:9" x14ac:dyDescent="0.35">
      <c r="A199" t="s">
        <v>13</v>
      </c>
      <c r="B199" t="s">
        <v>78</v>
      </c>
      <c r="C199" t="s">
        <v>11</v>
      </c>
      <c r="D199" t="s">
        <v>19</v>
      </c>
      <c r="E199">
        <v>177.07900000000001</v>
      </c>
      <c r="F199">
        <v>0.56759999999999999</v>
      </c>
      <c r="G199">
        <v>-0.13370000000000001</v>
      </c>
      <c r="H199">
        <v>177.0676</v>
      </c>
      <c r="I199">
        <v>0</v>
      </c>
    </row>
    <row r="200" spans="1:9" x14ac:dyDescent="0.35">
      <c r="A200" t="s">
        <v>14</v>
      </c>
      <c r="B200" t="s">
        <v>78</v>
      </c>
      <c r="C200" t="s">
        <v>11</v>
      </c>
      <c r="D200" t="s">
        <v>19</v>
      </c>
      <c r="E200">
        <v>177.07900000000001</v>
      </c>
      <c r="F200">
        <v>0.56759999999999999</v>
      </c>
      <c r="G200">
        <v>-0.13370000000000001</v>
      </c>
      <c r="H200">
        <v>177.0676</v>
      </c>
      <c r="I200">
        <v>0</v>
      </c>
    </row>
    <row r="201" spans="1:9" x14ac:dyDescent="0.35">
      <c r="A201" t="s">
        <v>15</v>
      </c>
      <c r="B201" t="s">
        <v>15</v>
      </c>
      <c r="C201" t="s">
        <v>15</v>
      </c>
      <c r="D201" t="s">
        <v>15</v>
      </c>
    </row>
    <row r="202" spans="1:9" x14ac:dyDescent="0.35">
      <c r="A202" t="s">
        <v>9</v>
      </c>
      <c r="B202" t="s">
        <v>79</v>
      </c>
      <c r="C202" t="s">
        <v>11</v>
      </c>
      <c r="D202" t="s">
        <v>24</v>
      </c>
      <c r="E202">
        <v>177.38399999999999</v>
      </c>
      <c r="F202">
        <v>0.57569999999999999</v>
      </c>
      <c r="G202">
        <v>-0.1351</v>
      </c>
      <c r="H202">
        <v>177.3723</v>
      </c>
      <c r="I202">
        <v>0</v>
      </c>
    </row>
    <row r="203" spans="1:9" x14ac:dyDescent="0.35">
      <c r="A203" t="s">
        <v>13</v>
      </c>
      <c r="B203" t="s">
        <v>79</v>
      </c>
      <c r="C203" t="s">
        <v>11</v>
      </c>
      <c r="D203" t="s">
        <v>24</v>
      </c>
      <c r="E203">
        <v>177.38399999999999</v>
      </c>
      <c r="F203">
        <v>0.57569999999999999</v>
      </c>
      <c r="G203">
        <v>-0.1351</v>
      </c>
      <c r="H203">
        <v>177.3723</v>
      </c>
      <c r="I203">
        <v>0</v>
      </c>
    </row>
    <row r="204" spans="1:9" x14ac:dyDescent="0.35">
      <c r="A204" t="s">
        <v>14</v>
      </c>
      <c r="B204" t="s">
        <v>79</v>
      </c>
      <c r="C204" t="s">
        <v>11</v>
      </c>
      <c r="D204" t="s">
        <v>24</v>
      </c>
      <c r="E204">
        <v>177.38399999999999</v>
      </c>
      <c r="F204">
        <v>0.57569999999999999</v>
      </c>
      <c r="G204">
        <v>-0.1351</v>
      </c>
      <c r="H204">
        <v>177.3723</v>
      </c>
      <c r="I204">
        <v>0</v>
      </c>
    </row>
    <row r="205" spans="1:9" x14ac:dyDescent="0.35">
      <c r="A205" t="s">
        <v>15</v>
      </c>
      <c r="B205" t="s">
        <v>15</v>
      </c>
      <c r="C205" t="s">
        <v>15</v>
      </c>
      <c r="D205" t="s">
        <v>15</v>
      </c>
    </row>
    <row r="206" spans="1:9" x14ac:dyDescent="0.35">
      <c r="A206" t="s">
        <v>9</v>
      </c>
      <c r="B206" t="s">
        <v>80</v>
      </c>
      <c r="C206" t="s">
        <v>11</v>
      </c>
      <c r="D206" t="s">
        <v>17</v>
      </c>
      <c r="E206">
        <v>177.727</v>
      </c>
      <c r="F206">
        <v>0.58479999999999999</v>
      </c>
      <c r="G206">
        <v>-0.1368</v>
      </c>
      <c r="H206">
        <v>177.71510000000001</v>
      </c>
      <c r="I206">
        <v>0</v>
      </c>
    </row>
    <row r="207" spans="1:9" x14ac:dyDescent="0.35">
      <c r="A207" t="s">
        <v>13</v>
      </c>
      <c r="B207" t="s">
        <v>80</v>
      </c>
      <c r="C207" t="s">
        <v>11</v>
      </c>
      <c r="D207" t="s">
        <v>17</v>
      </c>
      <c r="E207">
        <v>177.727</v>
      </c>
      <c r="F207">
        <v>0.58479999999999999</v>
      </c>
      <c r="G207">
        <v>-0.1368</v>
      </c>
      <c r="H207">
        <v>177.71510000000001</v>
      </c>
      <c r="I207">
        <v>0</v>
      </c>
    </row>
    <row r="208" spans="1:9" x14ac:dyDescent="0.35">
      <c r="A208" t="s">
        <v>14</v>
      </c>
      <c r="B208" t="s">
        <v>80</v>
      </c>
      <c r="C208" t="s">
        <v>11</v>
      </c>
      <c r="D208" t="s">
        <v>17</v>
      </c>
      <c r="E208">
        <v>177.727</v>
      </c>
      <c r="F208">
        <v>0.58479999999999999</v>
      </c>
      <c r="G208">
        <v>-0.1368</v>
      </c>
      <c r="H208">
        <v>177.71510000000001</v>
      </c>
      <c r="I208">
        <v>0</v>
      </c>
    </row>
    <row r="209" spans="1:9" x14ac:dyDescent="0.35">
      <c r="A209" t="s">
        <v>15</v>
      </c>
      <c r="B209" t="s">
        <v>15</v>
      </c>
      <c r="C209" t="s">
        <v>15</v>
      </c>
      <c r="D209" t="s">
        <v>15</v>
      </c>
    </row>
    <row r="210" spans="1:9" x14ac:dyDescent="0.35">
      <c r="A210" t="s">
        <v>9</v>
      </c>
      <c r="B210" t="s">
        <v>81</v>
      </c>
      <c r="C210" t="s">
        <v>27</v>
      </c>
      <c r="D210" t="s">
        <v>70</v>
      </c>
      <c r="E210">
        <v>177.95599999999999</v>
      </c>
      <c r="F210">
        <v>0.59089999999999998</v>
      </c>
      <c r="G210">
        <v>-0.13789999999999999</v>
      </c>
      <c r="H210">
        <v>177.94399999999999</v>
      </c>
      <c r="I210">
        <v>5.931</v>
      </c>
    </row>
    <row r="211" spans="1:9" x14ac:dyDescent="0.35">
      <c r="A211" t="s">
        <v>13</v>
      </c>
      <c r="B211" t="s">
        <v>81</v>
      </c>
      <c r="C211" t="s">
        <v>27</v>
      </c>
      <c r="D211" t="s">
        <v>70</v>
      </c>
      <c r="E211">
        <v>179.48</v>
      </c>
      <c r="F211">
        <v>0.63560000000000005</v>
      </c>
      <c r="G211">
        <v>-0.1447</v>
      </c>
      <c r="H211">
        <v>179.46735000000001</v>
      </c>
      <c r="I211">
        <v>5.931</v>
      </c>
    </row>
    <row r="212" spans="1:9" x14ac:dyDescent="0.35">
      <c r="A212" t="s">
        <v>14</v>
      </c>
      <c r="B212" t="s">
        <v>81</v>
      </c>
      <c r="C212" t="s">
        <v>27</v>
      </c>
      <c r="D212" t="s">
        <v>70</v>
      </c>
      <c r="E212">
        <v>181.00399999999999</v>
      </c>
      <c r="F212">
        <v>0.68030000000000002</v>
      </c>
      <c r="G212">
        <v>-0.1515</v>
      </c>
      <c r="H212">
        <v>180.9907</v>
      </c>
      <c r="I212">
        <v>5.931</v>
      </c>
    </row>
    <row r="213" spans="1:9" x14ac:dyDescent="0.35">
      <c r="A213" t="s">
        <v>15</v>
      </c>
      <c r="B213" t="s">
        <v>15</v>
      </c>
      <c r="C213" t="s">
        <v>15</v>
      </c>
      <c r="D213" t="s">
        <v>15</v>
      </c>
    </row>
    <row r="214" spans="1:9" x14ac:dyDescent="0.35">
      <c r="A214" t="s">
        <v>9</v>
      </c>
      <c r="B214" t="s">
        <v>82</v>
      </c>
      <c r="C214" t="s">
        <v>27</v>
      </c>
      <c r="D214" t="s">
        <v>70</v>
      </c>
      <c r="E214">
        <v>181.02099999999999</v>
      </c>
      <c r="F214">
        <v>0.68089999999999995</v>
      </c>
      <c r="G214">
        <v>-0.1515</v>
      </c>
      <c r="H214">
        <v>181.00810000000001</v>
      </c>
      <c r="I214">
        <v>5.931</v>
      </c>
    </row>
    <row r="215" spans="1:9" x14ac:dyDescent="0.35">
      <c r="A215" t="s">
        <v>13</v>
      </c>
      <c r="B215" t="s">
        <v>82</v>
      </c>
      <c r="C215" t="s">
        <v>27</v>
      </c>
      <c r="D215" t="s">
        <v>70</v>
      </c>
      <c r="E215">
        <v>182.54499999999999</v>
      </c>
      <c r="F215">
        <v>0.73434999999999995</v>
      </c>
      <c r="G215">
        <v>-0.15745000000000001</v>
      </c>
      <c r="H215">
        <v>182.53115</v>
      </c>
      <c r="I215">
        <v>5.931</v>
      </c>
    </row>
    <row r="216" spans="1:9" x14ac:dyDescent="0.35">
      <c r="A216" t="s">
        <v>14</v>
      </c>
      <c r="B216" t="s">
        <v>82</v>
      </c>
      <c r="C216" t="s">
        <v>27</v>
      </c>
      <c r="D216" t="s">
        <v>70</v>
      </c>
      <c r="E216">
        <v>184.06899999999999</v>
      </c>
      <c r="F216">
        <v>0.78779999999999994</v>
      </c>
      <c r="G216">
        <v>-0.16339999999999999</v>
      </c>
      <c r="H216">
        <v>184.05420000000001</v>
      </c>
      <c r="I216">
        <v>5.931</v>
      </c>
    </row>
    <row r="217" spans="1:9" x14ac:dyDescent="0.35">
      <c r="A217" t="s">
        <v>15</v>
      </c>
      <c r="B217" t="s">
        <v>15</v>
      </c>
      <c r="C217" t="s">
        <v>15</v>
      </c>
      <c r="D217" t="s">
        <v>15</v>
      </c>
    </row>
    <row r="218" spans="1:9" x14ac:dyDescent="0.35">
      <c r="A218" t="s">
        <v>9</v>
      </c>
      <c r="B218" t="s">
        <v>83</v>
      </c>
      <c r="C218" t="s">
        <v>27</v>
      </c>
      <c r="D218" t="s">
        <v>70</v>
      </c>
      <c r="E218">
        <v>184.38900000000001</v>
      </c>
      <c r="F218">
        <v>0.79990000000000006</v>
      </c>
      <c r="G218">
        <v>-0.16450000000000001</v>
      </c>
      <c r="H218">
        <v>184.3741</v>
      </c>
      <c r="I218">
        <v>5.931</v>
      </c>
    </row>
    <row r="219" spans="1:9" x14ac:dyDescent="0.35">
      <c r="A219" t="s">
        <v>13</v>
      </c>
      <c r="B219" t="s">
        <v>83</v>
      </c>
      <c r="C219" t="s">
        <v>27</v>
      </c>
      <c r="D219" t="s">
        <v>70</v>
      </c>
      <c r="E219">
        <v>185.91300000000001</v>
      </c>
      <c r="F219">
        <v>0.86199999999999999</v>
      </c>
      <c r="G219">
        <v>-0.16950000000000001</v>
      </c>
      <c r="H219">
        <v>185.89680000000001</v>
      </c>
      <c r="I219">
        <v>5.931</v>
      </c>
    </row>
    <row r="220" spans="1:9" x14ac:dyDescent="0.35">
      <c r="A220" t="s">
        <v>14</v>
      </c>
      <c r="B220" t="s">
        <v>83</v>
      </c>
      <c r="C220" t="s">
        <v>27</v>
      </c>
      <c r="D220" t="s">
        <v>70</v>
      </c>
      <c r="E220">
        <v>187.43700000000001</v>
      </c>
      <c r="F220">
        <v>0.92410000000000003</v>
      </c>
      <c r="G220">
        <v>-0.17449999999999999</v>
      </c>
      <c r="H220">
        <v>187.4195</v>
      </c>
      <c r="I220">
        <v>5.931</v>
      </c>
    </row>
    <row r="221" spans="1:9" x14ac:dyDescent="0.35">
      <c r="A221" t="s">
        <v>15</v>
      </c>
      <c r="B221" t="s">
        <v>15</v>
      </c>
      <c r="C221" t="s">
        <v>15</v>
      </c>
      <c r="D221" t="s">
        <v>15</v>
      </c>
    </row>
    <row r="222" spans="1:9" x14ac:dyDescent="0.35">
      <c r="A222" t="s">
        <v>9</v>
      </c>
      <c r="B222" t="s">
        <v>84</v>
      </c>
      <c r="C222" t="s">
        <v>27</v>
      </c>
      <c r="D222" t="s">
        <v>70</v>
      </c>
      <c r="E222">
        <v>187.76599999999999</v>
      </c>
      <c r="F222">
        <v>0.93840000000000001</v>
      </c>
      <c r="G222">
        <v>-0.17549999999999999</v>
      </c>
      <c r="H222">
        <v>187.74850000000001</v>
      </c>
      <c r="I222">
        <v>5.931</v>
      </c>
    </row>
    <row r="223" spans="1:9" x14ac:dyDescent="0.35">
      <c r="A223" t="s">
        <v>13</v>
      </c>
      <c r="B223" t="s">
        <v>84</v>
      </c>
      <c r="C223" t="s">
        <v>27</v>
      </c>
      <c r="D223" t="s">
        <v>70</v>
      </c>
      <c r="E223">
        <v>189.29</v>
      </c>
      <c r="F223">
        <v>1.00915</v>
      </c>
      <c r="G223">
        <v>-0.17960000000000001</v>
      </c>
      <c r="H223">
        <v>189.27085</v>
      </c>
      <c r="I223">
        <v>5.931</v>
      </c>
    </row>
    <row r="224" spans="1:9" x14ac:dyDescent="0.35">
      <c r="A224" t="s">
        <v>14</v>
      </c>
      <c r="B224" t="s">
        <v>84</v>
      </c>
      <c r="C224" t="s">
        <v>27</v>
      </c>
      <c r="D224" t="s">
        <v>70</v>
      </c>
      <c r="E224">
        <v>190.81399999999999</v>
      </c>
      <c r="F224">
        <v>1.0799000000000001</v>
      </c>
      <c r="G224">
        <v>-0.1837</v>
      </c>
      <c r="H224">
        <v>190.79320000000001</v>
      </c>
      <c r="I224">
        <v>5.931</v>
      </c>
    </row>
    <row r="225" spans="1:9" x14ac:dyDescent="0.35">
      <c r="A225" t="s">
        <v>15</v>
      </c>
      <c r="B225" t="s">
        <v>15</v>
      </c>
      <c r="C225" t="s">
        <v>15</v>
      </c>
      <c r="D225" t="s">
        <v>15</v>
      </c>
    </row>
    <row r="226" spans="1:9" x14ac:dyDescent="0.35">
      <c r="A226" t="s">
        <v>9</v>
      </c>
      <c r="B226" t="s">
        <v>85</v>
      </c>
      <c r="C226" t="s">
        <v>27</v>
      </c>
      <c r="D226" t="s">
        <v>70</v>
      </c>
      <c r="E226">
        <v>191.11</v>
      </c>
      <c r="F226">
        <v>1.0945</v>
      </c>
      <c r="G226">
        <v>-0.18440000000000001</v>
      </c>
      <c r="H226">
        <v>191.08860000000001</v>
      </c>
      <c r="I226">
        <v>5.931</v>
      </c>
    </row>
    <row r="227" spans="1:9" x14ac:dyDescent="0.35">
      <c r="A227" t="s">
        <v>13</v>
      </c>
      <c r="B227" t="s">
        <v>85</v>
      </c>
      <c r="C227" t="s">
        <v>27</v>
      </c>
      <c r="D227" t="s">
        <v>70</v>
      </c>
      <c r="E227">
        <v>192.63399999999999</v>
      </c>
      <c r="F227">
        <v>1.17395</v>
      </c>
      <c r="G227">
        <v>-0.18759999999999999</v>
      </c>
      <c r="H227">
        <v>192.61054999999999</v>
      </c>
      <c r="I227">
        <v>5.931</v>
      </c>
    </row>
    <row r="228" spans="1:9" x14ac:dyDescent="0.35">
      <c r="A228" t="s">
        <v>14</v>
      </c>
      <c r="B228" t="s">
        <v>85</v>
      </c>
      <c r="C228" t="s">
        <v>27</v>
      </c>
      <c r="D228" t="s">
        <v>70</v>
      </c>
      <c r="E228">
        <v>194.15799999999999</v>
      </c>
      <c r="F228">
        <v>1.2534000000000001</v>
      </c>
      <c r="G228">
        <v>-0.1908</v>
      </c>
      <c r="H228">
        <v>194.13249999999999</v>
      </c>
      <c r="I228">
        <v>5.931</v>
      </c>
    </row>
    <row r="229" spans="1:9" x14ac:dyDescent="0.35">
      <c r="A229" t="s">
        <v>15</v>
      </c>
      <c r="B229" t="s">
        <v>15</v>
      </c>
      <c r="C229" t="s">
        <v>15</v>
      </c>
      <c r="D229" t="s">
        <v>15</v>
      </c>
    </row>
    <row r="230" spans="1:9" x14ac:dyDescent="0.35">
      <c r="A230" t="s">
        <v>9</v>
      </c>
      <c r="B230" t="s">
        <v>86</v>
      </c>
      <c r="C230" t="s">
        <v>11</v>
      </c>
      <c r="D230" t="s">
        <v>35</v>
      </c>
      <c r="E230">
        <v>236.91499999999999</v>
      </c>
      <c r="F230">
        <v>3.6034999999999999</v>
      </c>
      <c r="G230">
        <v>-0.26779999999999998</v>
      </c>
      <c r="H230">
        <v>236.82509999999999</v>
      </c>
      <c r="I230">
        <v>0</v>
      </c>
    </row>
    <row r="231" spans="1:9" x14ac:dyDescent="0.35">
      <c r="A231" t="s">
        <v>13</v>
      </c>
      <c r="B231" t="s">
        <v>86</v>
      </c>
      <c r="C231" t="s">
        <v>11</v>
      </c>
      <c r="D231" t="s">
        <v>35</v>
      </c>
      <c r="E231">
        <v>236.91499999999999</v>
      </c>
      <c r="F231">
        <v>3.6034999999999999</v>
      </c>
      <c r="G231">
        <v>-0.26779999999999998</v>
      </c>
      <c r="H231">
        <v>236.82509999999999</v>
      </c>
      <c r="I231">
        <v>0</v>
      </c>
    </row>
    <row r="232" spans="1:9" x14ac:dyDescent="0.35">
      <c r="A232" t="s">
        <v>14</v>
      </c>
      <c r="B232" t="s">
        <v>86</v>
      </c>
      <c r="C232" t="s">
        <v>11</v>
      </c>
      <c r="D232" t="s">
        <v>35</v>
      </c>
      <c r="E232">
        <v>236.91499999999999</v>
      </c>
      <c r="F232">
        <v>3.6034999999999999</v>
      </c>
      <c r="G232">
        <v>-0.26779999999999998</v>
      </c>
      <c r="H232">
        <v>236.82509999999999</v>
      </c>
      <c r="I232">
        <v>0</v>
      </c>
    </row>
    <row r="233" spans="1:9" x14ac:dyDescent="0.35">
      <c r="A233" t="s">
        <v>15</v>
      </c>
      <c r="B233" t="s">
        <v>15</v>
      </c>
      <c r="C233" t="s">
        <v>15</v>
      </c>
      <c r="D233" t="s">
        <v>15</v>
      </c>
    </row>
    <row r="234" spans="1:9" x14ac:dyDescent="0.35">
      <c r="A234" t="s">
        <v>9</v>
      </c>
      <c r="B234" t="s">
        <v>87</v>
      </c>
      <c r="C234" t="s">
        <v>11</v>
      </c>
      <c r="D234" t="s">
        <v>19</v>
      </c>
      <c r="E234">
        <v>237.173</v>
      </c>
      <c r="F234">
        <v>3.6175999999999999</v>
      </c>
      <c r="G234">
        <v>-0.26829999999999998</v>
      </c>
      <c r="H234">
        <v>237.08189999999999</v>
      </c>
      <c r="I234">
        <v>0</v>
      </c>
    </row>
    <row r="235" spans="1:9" x14ac:dyDescent="0.35">
      <c r="A235" t="s">
        <v>13</v>
      </c>
      <c r="B235" t="s">
        <v>87</v>
      </c>
      <c r="C235" t="s">
        <v>11</v>
      </c>
      <c r="D235" t="s">
        <v>19</v>
      </c>
      <c r="E235">
        <v>237.173</v>
      </c>
      <c r="F235">
        <v>3.6175999999999999</v>
      </c>
      <c r="G235">
        <v>-0.26829999999999998</v>
      </c>
      <c r="H235">
        <v>237.08189999999999</v>
      </c>
      <c r="I235">
        <v>0</v>
      </c>
    </row>
    <row r="236" spans="1:9" x14ac:dyDescent="0.35">
      <c r="A236" t="s">
        <v>14</v>
      </c>
      <c r="B236" t="s">
        <v>87</v>
      </c>
      <c r="C236" t="s">
        <v>11</v>
      </c>
      <c r="D236" t="s">
        <v>19</v>
      </c>
      <c r="E236">
        <v>237.173</v>
      </c>
      <c r="F236">
        <v>3.6175999999999999</v>
      </c>
      <c r="G236">
        <v>-0.26829999999999998</v>
      </c>
      <c r="H236">
        <v>237.08189999999999</v>
      </c>
      <c r="I236">
        <v>0</v>
      </c>
    </row>
    <row r="237" spans="1:9" x14ac:dyDescent="0.35">
      <c r="A237" t="s">
        <v>15</v>
      </c>
      <c r="B237" t="s">
        <v>15</v>
      </c>
      <c r="C237" t="s">
        <v>15</v>
      </c>
      <c r="D237" t="s">
        <v>15</v>
      </c>
    </row>
    <row r="238" spans="1:9" x14ac:dyDescent="0.35">
      <c r="A238" t="s">
        <v>9</v>
      </c>
      <c r="B238" t="s">
        <v>88</v>
      </c>
      <c r="C238" t="s">
        <v>11</v>
      </c>
      <c r="D238" t="s">
        <v>17</v>
      </c>
      <c r="E238">
        <v>237.262</v>
      </c>
      <c r="F238">
        <v>3.6225000000000001</v>
      </c>
      <c r="G238">
        <v>-0.26850000000000002</v>
      </c>
      <c r="H238">
        <v>237.17060000000001</v>
      </c>
      <c r="I238">
        <v>0</v>
      </c>
    </row>
    <row r="239" spans="1:9" x14ac:dyDescent="0.35">
      <c r="A239" t="s">
        <v>13</v>
      </c>
      <c r="B239" t="s">
        <v>88</v>
      </c>
      <c r="C239" t="s">
        <v>11</v>
      </c>
      <c r="D239" t="s">
        <v>17</v>
      </c>
      <c r="E239">
        <v>237.262</v>
      </c>
      <c r="F239">
        <v>3.6225000000000001</v>
      </c>
      <c r="G239">
        <v>-0.26850000000000002</v>
      </c>
      <c r="H239">
        <v>237.17060000000001</v>
      </c>
      <c r="I239">
        <v>0</v>
      </c>
    </row>
    <row r="240" spans="1:9" x14ac:dyDescent="0.35">
      <c r="A240" t="s">
        <v>14</v>
      </c>
      <c r="B240" t="s">
        <v>88</v>
      </c>
      <c r="C240" t="s">
        <v>11</v>
      </c>
      <c r="D240" t="s">
        <v>17</v>
      </c>
      <c r="E240">
        <v>237.262</v>
      </c>
      <c r="F240">
        <v>3.6225000000000001</v>
      </c>
      <c r="G240">
        <v>-0.26850000000000002</v>
      </c>
      <c r="H240">
        <v>237.17060000000001</v>
      </c>
      <c r="I240">
        <v>0</v>
      </c>
    </row>
    <row r="241" spans="1:9" x14ac:dyDescent="0.35">
      <c r="A241" t="s">
        <v>15</v>
      </c>
      <c r="B241" t="s">
        <v>15</v>
      </c>
      <c r="C241" t="s">
        <v>15</v>
      </c>
      <c r="D241" t="s">
        <v>15</v>
      </c>
    </row>
    <row r="242" spans="1:9" x14ac:dyDescent="0.35">
      <c r="A242" t="s">
        <v>9</v>
      </c>
      <c r="B242" t="s">
        <v>89</v>
      </c>
      <c r="C242" t="s">
        <v>11</v>
      </c>
      <c r="D242" t="s">
        <v>17</v>
      </c>
      <c r="E242">
        <v>238.38</v>
      </c>
      <c r="F242">
        <v>3.6840000000000002</v>
      </c>
      <c r="G242">
        <v>-0.27050000000000002</v>
      </c>
      <c r="H242">
        <v>238.2869</v>
      </c>
      <c r="I242">
        <v>0</v>
      </c>
    </row>
    <row r="243" spans="1:9" x14ac:dyDescent="0.35">
      <c r="A243" t="s">
        <v>13</v>
      </c>
      <c r="B243" t="s">
        <v>89</v>
      </c>
      <c r="C243" t="s">
        <v>11</v>
      </c>
      <c r="D243" t="s">
        <v>17</v>
      </c>
      <c r="E243">
        <v>238.38</v>
      </c>
      <c r="F243">
        <v>3.6840000000000002</v>
      </c>
      <c r="G243">
        <v>-0.27050000000000002</v>
      </c>
      <c r="H243">
        <v>238.2869</v>
      </c>
      <c r="I243">
        <v>0</v>
      </c>
    </row>
    <row r="244" spans="1:9" x14ac:dyDescent="0.35">
      <c r="A244" t="s">
        <v>14</v>
      </c>
      <c r="B244" t="s">
        <v>89</v>
      </c>
      <c r="C244" t="s">
        <v>11</v>
      </c>
      <c r="D244" t="s">
        <v>17</v>
      </c>
      <c r="E244">
        <v>238.38</v>
      </c>
      <c r="F244">
        <v>3.6840000000000002</v>
      </c>
      <c r="G244">
        <v>-0.27050000000000002</v>
      </c>
      <c r="H244">
        <v>238.2869</v>
      </c>
      <c r="I244">
        <v>0</v>
      </c>
    </row>
    <row r="245" spans="1:9" x14ac:dyDescent="0.35">
      <c r="A245" t="s">
        <v>15</v>
      </c>
      <c r="B245" t="s">
        <v>15</v>
      </c>
      <c r="C245" t="s">
        <v>15</v>
      </c>
      <c r="D245" t="s">
        <v>15</v>
      </c>
    </row>
    <row r="246" spans="1:9" x14ac:dyDescent="0.35">
      <c r="A246" t="s">
        <v>9</v>
      </c>
      <c r="B246" t="s">
        <v>90</v>
      </c>
      <c r="C246" t="s">
        <v>11</v>
      </c>
      <c r="D246" t="s">
        <v>19</v>
      </c>
      <c r="E246">
        <v>238.52</v>
      </c>
      <c r="F246">
        <v>3.6917</v>
      </c>
      <c r="G246">
        <v>-0.2707</v>
      </c>
      <c r="H246">
        <v>238.42670000000001</v>
      </c>
      <c r="I246">
        <v>0</v>
      </c>
    </row>
    <row r="247" spans="1:9" x14ac:dyDescent="0.35">
      <c r="A247" t="s">
        <v>13</v>
      </c>
      <c r="B247" t="s">
        <v>90</v>
      </c>
      <c r="C247" t="s">
        <v>11</v>
      </c>
      <c r="D247" t="s">
        <v>19</v>
      </c>
      <c r="E247">
        <v>238.52</v>
      </c>
      <c r="F247">
        <v>3.6917</v>
      </c>
      <c r="G247">
        <v>-0.2707</v>
      </c>
      <c r="H247">
        <v>238.42670000000001</v>
      </c>
      <c r="I247">
        <v>0</v>
      </c>
    </row>
    <row r="248" spans="1:9" x14ac:dyDescent="0.35">
      <c r="A248" t="s">
        <v>14</v>
      </c>
      <c r="B248" t="s">
        <v>90</v>
      </c>
      <c r="C248" t="s">
        <v>11</v>
      </c>
      <c r="D248" t="s">
        <v>19</v>
      </c>
      <c r="E248">
        <v>238.52</v>
      </c>
      <c r="F248">
        <v>3.6917</v>
      </c>
      <c r="G248">
        <v>-0.2707</v>
      </c>
      <c r="H248">
        <v>238.42670000000001</v>
      </c>
      <c r="I248">
        <v>0</v>
      </c>
    </row>
    <row r="249" spans="1:9" x14ac:dyDescent="0.35">
      <c r="A249" t="s">
        <v>15</v>
      </c>
      <c r="B249" t="s">
        <v>15</v>
      </c>
      <c r="C249" t="s">
        <v>15</v>
      </c>
      <c r="D249" t="s">
        <v>15</v>
      </c>
    </row>
    <row r="250" spans="1:9" x14ac:dyDescent="0.35">
      <c r="A250" t="s">
        <v>9</v>
      </c>
      <c r="B250" t="s">
        <v>91</v>
      </c>
      <c r="C250" t="s">
        <v>11</v>
      </c>
      <c r="D250" t="s">
        <v>12</v>
      </c>
      <c r="E250">
        <v>238.786</v>
      </c>
      <c r="F250">
        <v>3.7063000000000001</v>
      </c>
      <c r="G250">
        <v>-0.2712</v>
      </c>
      <c r="H250">
        <v>238.69300000000001</v>
      </c>
      <c r="I250">
        <v>0</v>
      </c>
    </row>
    <row r="251" spans="1:9" x14ac:dyDescent="0.35">
      <c r="A251" t="s">
        <v>13</v>
      </c>
      <c r="B251" t="s">
        <v>91</v>
      </c>
      <c r="C251" t="s">
        <v>11</v>
      </c>
      <c r="D251" t="s">
        <v>12</v>
      </c>
      <c r="E251">
        <v>238.786</v>
      </c>
      <c r="F251">
        <v>3.7063000000000001</v>
      </c>
      <c r="G251">
        <v>-0.2712</v>
      </c>
      <c r="H251">
        <v>238.69300000000001</v>
      </c>
      <c r="I251">
        <v>0</v>
      </c>
    </row>
    <row r="252" spans="1:9" x14ac:dyDescent="0.35">
      <c r="A252" t="s">
        <v>14</v>
      </c>
      <c r="B252" t="s">
        <v>91</v>
      </c>
      <c r="C252" t="s">
        <v>11</v>
      </c>
      <c r="D252" t="s">
        <v>12</v>
      </c>
      <c r="E252">
        <v>238.786</v>
      </c>
      <c r="F252">
        <v>3.7063000000000001</v>
      </c>
      <c r="G252">
        <v>-0.2712</v>
      </c>
      <c r="H252">
        <v>238.69300000000001</v>
      </c>
      <c r="I252">
        <v>0</v>
      </c>
    </row>
    <row r="253" spans="1:9" x14ac:dyDescent="0.35">
      <c r="A253" t="s">
        <v>15</v>
      </c>
      <c r="B253" t="s">
        <v>15</v>
      </c>
      <c r="C253" t="s">
        <v>15</v>
      </c>
      <c r="D253" t="s">
        <v>15</v>
      </c>
    </row>
    <row r="254" spans="1:9" x14ac:dyDescent="0.35">
      <c r="A254" t="s">
        <v>9</v>
      </c>
      <c r="B254" t="s">
        <v>92</v>
      </c>
      <c r="C254" t="s">
        <v>11</v>
      </c>
      <c r="D254" t="s">
        <v>12</v>
      </c>
      <c r="E254">
        <v>277.26499999999999</v>
      </c>
      <c r="F254">
        <v>5.8212999999999999</v>
      </c>
      <c r="G254">
        <v>-0.34050000000000002</v>
      </c>
      <c r="H254">
        <v>277.11399999999998</v>
      </c>
      <c r="I254">
        <v>0</v>
      </c>
    </row>
    <row r="255" spans="1:9" x14ac:dyDescent="0.35">
      <c r="A255" t="s">
        <v>13</v>
      </c>
      <c r="B255" t="s">
        <v>92</v>
      </c>
      <c r="C255" t="s">
        <v>11</v>
      </c>
      <c r="D255" t="s">
        <v>12</v>
      </c>
      <c r="E255">
        <v>277.26499999999999</v>
      </c>
      <c r="F255">
        <v>5.8212999999999999</v>
      </c>
      <c r="G255">
        <v>-0.34050000000000002</v>
      </c>
      <c r="H255">
        <v>277.11399999999998</v>
      </c>
      <c r="I255">
        <v>0</v>
      </c>
    </row>
    <row r="256" spans="1:9" x14ac:dyDescent="0.35">
      <c r="A256" t="s">
        <v>14</v>
      </c>
      <c r="B256" t="s">
        <v>92</v>
      </c>
      <c r="C256" t="s">
        <v>11</v>
      </c>
      <c r="D256" t="s">
        <v>12</v>
      </c>
      <c r="E256">
        <v>277.26499999999999</v>
      </c>
      <c r="F256">
        <v>5.8212999999999999</v>
      </c>
      <c r="G256">
        <v>-0.34050000000000002</v>
      </c>
      <c r="H256">
        <v>277.11399999999998</v>
      </c>
      <c r="I256">
        <v>0</v>
      </c>
    </row>
    <row r="257" spans="1:9" x14ac:dyDescent="0.35">
      <c r="A257" t="s">
        <v>15</v>
      </c>
      <c r="B257" t="s">
        <v>15</v>
      </c>
      <c r="C257" t="s">
        <v>15</v>
      </c>
      <c r="D257" t="s">
        <v>15</v>
      </c>
    </row>
    <row r="258" spans="1:9" x14ac:dyDescent="0.35">
      <c r="A258" t="s">
        <v>9</v>
      </c>
      <c r="B258" t="s">
        <v>93</v>
      </c>
      <c r="C258" t="s">
        <v>11</v>
      </c>
      <c r="D258" t="s">
        <v>17</v>
      </c>
      <c r="E258">
        <v>277.62099999999998</v>
      </c>
      <c r="F258">
        <v>5.8407999999999998</v>
      </c>
      <c r="G258">
        <v>-0.3412</v>
      </c>
      <c r="H258">
        <v>277.46890000000002</v>
      </c>
      <c r="I258">
        <v>0</v>
      </c>
    </row>
    <row r="259" spans="1:9" x14ac:dyDescent="0.35">
      <c r="A259" t="s">
        <v>13</v>
      </c>
      <c r="B259" t="s">
        <v>93</v>
      </c>
      <c r="C259" t="s">
        <v>11</v>
      </c>
      <c r="D259" t="s">
        <v>17</v>
      </c>
      <c r="E259">
        <v>277.62099999999998</v>
      </c>
      <c r="F259">
        <v>5.8407999999999998</v>
      </c>
      <c r="G259">
        <v>-0.3412</v>
      </c>
      <c r="H259">
        <v>277.46890000000002</v>
      </c>
      <c r="I259">
        <v>0</v>
      </c>
    </row>
    <row r="260" spans="1:9" x14ac:dyDescent="0.35">
      <c r="A260" t="s">
        <v>14</v>
      </c>
      <c r="B260" t="s">
        <v>93</v>
      </c>
      <c r="C260" t="s">
        <v>11</v>
      </c>
      <c r="D260" t="s">
        <v>17</v>
      </c>
      <c r="E260">
        <v>277.62099999999998</v>
      </c>
      <c r="F260">
        <v>5.8407999999999998</v>
      </c>
      <c r="G260">
        <v>-0.3412</v>
      </c>
      <c r="H260">
        <v>277.46890000000002</v>
      </c>
      <c r="I260">
        <v>0</v>
      </c>
    </row>
    <row r="261" spans="1:9" x14ac:dyDescent="0.35">
      <c r="A261" t="s">
        <v>15</v>
      </c>
      <c r="B261" t="s">
        <v>15</v>
      </c>
      <c r="C261" t="s">
        <v>15</v>
      </c>
      <c r="D261" t="s">
        <v>15</v>
      </c>
    </row>
    <row r="262" spans="1:9" x14ac:dyDescent="0.35">
      <c r="A262" t="s">
        <v>9</v>
      </c>
      <c r="B262" t="s">
        <v>94</v>
      </c>
      <c r="C262" t="s">
        <v>66</v>
      </c>
      <c r="D262" t="s">
        <v>95</v>
      </c>
      <c r="E262">
        <v>277.77300000000002</v>
      </c>
      <c r="F262">
        <v>5.8491999999999997</v>
      </c>
      <c r="G262">
        <v>-0.34150000000000003</v>
      </c>
      <c r="H262">
        <v>277.6207</v>
      </c>
      <c r="I262">
        <v>0</v>
      </c>
    </row>
    <row r="263" spans="1:9" x14ac:dyDescent="0.35">
      <c r="A263" t="s">
        <v>13</v>
      </c>
      <c r="B263" t="s">
        <v>94</v>
      </c>
      <c r="C263" t="s">
        <v>66</v>
      </c>
      <c r="D263" t="s">
        <v>95</v>
      </c>
      <c r="E263">
        <v>279.29700000000003</v>
      </c>
      <c r="F263">
        <v>5.9329499999999999</v>
      </c>
      <c r="G263">
        <v>-0.34420000000000001</v>
      </c>
      <c r="H263">
        <v>279.14240000000001</v>
      </c>
      <c r="I263">
        <v>0</v>
      </c>
    </row>
    <row r="264" spans="1:9" x14ac:dyDescent="0.35">
      <c r="A264" t="s">
        <v>14</v>
      </c>
      <c r="B264" t="s">
        <v>94</v>
      </c>
      <c r="C264" t="s">
        <v>66</v>
      </c>
      <c r="D264" t="s">
        <v>95</v>
      </c>
      <c r="E264">
        <v>280.82100000000003</v>
      </c>
      <c r="F264">
        <v>6.0167000000000002</v>
      </c>
      <c r="G264">
        <v>-0.34689999999999999</v>
      </c>
      <c r="H264">
        <v>280.66410000000002</v>
      </c>
      <c r="I264">
        <v>0</v>
      </c>
    </row>
    <row r="265" spans="1:9" x14ac:dyDescent="0.35">
      <c r="A265" t="s">
        <v>15</v>
      </c>
      <c r="B265" t="s">
        <v>15</v>
      </c>
      <c r="C265" t="s">
        <v>15</v>
      </c>
      <c r="D265" t="s">
        <v>15</v>
      </c>
    </row>
    <row r="266" spans="1:9" x14ac:dyDescent="0.35">
      <c r="A266" t="s">
        <v>9</v>
      </c>
      <c r="B266" t="s">
        <v>55</v>
      </c>
      <c r="C266" t="s">
        <v>11</v>
      </c>
      <c r="D266" t="s">
        <v>56</v>
      </c>
      <c r="E266">
        <v>281.27800000000002</v>
      </c>
      <c r="F266">
        <v>6.0419</v>
      </c>
      <c r="G266">
        <v>-0.3478</v>
      </c>
      <c r="H266">
        <v>281.12040000000002</v>
      </c>
      <c r="I266">
        <v>0</v>
      </c>
    </row>
    <row r="267" spans="1:9" x14ac:dyDescent="0.35">
      <c r="A267" t="s">
        <v>13</v>
      </c>
      <c r="B267" t="s">
        <v>55</v>
      </c>
      <c r="C267" t="s">
        <v>11</v>
      </c>
      <c r="D267" t="s">
        <v>56</v>
      </c>
      <c r="E267">
        <v>281.27800000000002</v>
      </c>
      <c r="F267">
        <v>6.0419</v>
      </c>
      <c r="G267">
        <v>-0.3478</v>
      </c>
      <c r="H267">
        <v>281.12040000000002</v>
      </c>
      <c r="I267">
        <v>0</v>
      </c>
    </row>
    <row r="268" spans="1:9" x14ac:dyDescent="0.35">
      <c r="A268" t="s">
        <v>14</v>
      </c>
      <c r="B268" t="s">
        <v>55</v>
      </c>
      <c r="C268" t="s">
        <v>11</v>
      </c>
      <c r="D268" t="s">
        <v>56</v>
      </c>
      <c r="E268">
        <v>281.27800000000002</v>
      </c>
      <c r="F268">
        <v>6.0419</v>
      </c>
      <c r="G268">
        <v>-0.3478</v>
      </c>
      <c r="H268">
        <v>281.12040000000002</v>
      </c>
      <c r="I268">
        <v>0</v>
      </c>
    </row>
    <row r="269" spans="1:9" x14ac:dyDescent="0.35">
      <c r="A269" t="s">
        <v>15</v>
      </c>
      <c r="B269" t="s">
        <v>15</v>
      </c>
      <c r="C269" t="s">
        <v>15</v>
      </c>
      <c r="D269" t="s">
        <v>15</v>
      </c>
    </row>
    <row r="270" spans="1:9" x14ac:dyDescent="0.35">
      <c r="A270" t="s">
        <v>9</v>
      </c>
      <c r="B270" t="s">
        <v>55</v>
      </c>
      <c r="C270" t="s">
        <v>11</v>
      </c>
      <c r="D270" t="s">
        <v>56</v>
      </c>
      <c r="E270">
        <v>282.80200000000002</v>
      </c>
      <c r="F270">
        <v>6.1256000000000004</v>
      </c>
      <c r="G270">
        <v>-0.35049999999999998</v>
      </c>
      <c r="H270">
        <v>282.64210000000003</v>
      </c>
      <c r="I270">
        <v>0</v>
      </c>
    </row>
    <row r="271" spans="1:9" x14ac:dyDescent="0.35">
      <c r="A271" t="s">
        <v>13</v>
      </c>
      <c r="B271" t="s">
        <v>55</v>
      </c>
      <c r="C271" t="s">
        <v>11</v>
      </c>
      <c r="D271" t="s">
        <v>56</v>
      </c>
      <c r="E271">
        <v>282.80200000000002</v>
      </c>
      <c r="F271">
        <v>6.1256000000000004</v>
      </c>
      <c r="G271">
        <v>-0.35049999999999998</v>
      </c>
      <c r="H271">
        <v>282.64210000000003</v>
      </c>
      <c r="I271">
        <v>0</v>
      </c>
    </row>
    <row r="272" spans="1:9" x14ac:dyDescent="0.35">
      <c r="A272" t="s">
        <v>14</v>
      </c>
      <c r="B272" t="s">
        <v>55</v>
      </c>
      <c r="C272" t="s">
        <v>11</v>
      </c>
      <c r="D272" t="s">
        <v>56</v>
      </c>
      <c r="E272">
        <v>282.80200000000002</v>
      </c>
      <c r="F272">
        <v>6.1256000000000004</v>
      </c>
      <c r="G272">
        <v>-0.35049999999999998</v>
      </c>
      <c r="H272">
        <v>282.64210000000003</v>
      </c>
      <c r="I272">
        <v>0</v>
      </c>
    </row>
    <row r="273" spans="1:9" x14ac:dyDescent="0.35">
      <c r="A273" t="s">
        <v>15</v>
      </c>
      <c r="B273" t="s">
        <v>15</v>
      </c>
      <c r="C273" t="s">
        <v>15</v>
      </c>
      <c r="D273" t="s">
        <v>15</v>
      </c>
    </row>
    <row r="274" spans="1:9" x14ac:dyDescent="0.35">
      <c r="A274" t="s">
        <v>9</v>
      </c>
      <c r="B274" t="s">
        <v>96</v>
      </c>
      <c r="C274" t="s">
        <v>11</v>
      </c>
      <c r="D274" t="s">
        <v>24</v>
      </c>
      <c r="E274">
        <v>283.10700000000003</v>
      </c>
      <c r="F274">
        <v>6.1424000000000003</v>
      </c>
      <c r="G274">
        <v>-0.35110000000000002</v>
      </c>
      <c r="H274">
        <v>282.94639999999998</v>
      </c>
      <c r="I274">
        <v>0</v>
      </c>
    </row>
    <row r="275" spans="1:9" x14ac:dyDescent="0.35">
      <c r="A275" t="s">
        <v>13</v>
      </c>
      <c r="B275" t="s">
        <v>96</v>
      </c>
      <c r="C275" t="s">
        <v>11</v>
      </c>
      <c r="D275" t="s">
        <v>24</v>
      </c>
      <c r="E275">
        <v>283.10700000000003</v>
      </c>
      <c r="F275">
        <v>6.1424000000000003</v>
      </c>
      <c r="G275">
        <v>-0.35110000000000002</v>
      </c>
      <c r="H275">
        <v>282.94639999999998</v>
      </c>
      <c r="I275">
        <v>0</v>
      </c>
    </row>
    <row r="276" spans="1:9" x14ac:dyDescent="0.35">
      <c r="A276" t="s">
        <v>14</v>
      </c>
      <c r="B276" t="s">
        <v>96</v>
      </c>
      <c r="C276" t="s">
        <v>11</v>
      </c>
      <c r="D276" t="s">
        <v>24</v>
      </c>
      <c r="E276">
        <v>283.10700000000003</v>
      </c>
      <c r="F276">
        <v>6.1424000000000003</v>
      </c>
      <c r="G276">
        <v>-0.35110000000000002</v>
      </c>
      <c r="H276">
        <v>282.94639999999998</v>
      </c>
      <c r="I276">
        <v>0</v>
      </c>
    </row>
    <row r="277" spans="1:9" x14ac:dyDescent="0.35">
      <c r="A277" t="s">
        <v>15</v>
      </c>
      <c r="B277" t="s">
        <v>15</v>
      </c>
      <c r="C277" t="s">
        <v>15</v>
      </c>
      <c r="D277" t="s">
        <v>15</v>
      </c>
    </row>
    <row r="278" spans="1:9" x14ac:dyDescent="0.35">
      <c r="A278" t="s">
        <v>9</v>
      </c>
      <c r="B278" t="s">
        <v>97</v>
      </c>
      <c r="C278" t="s">
        <v>66</v>
      </c>
      <c r="D278" t="s">
        <v>95</v>
      </c>
      <c r="E278">
        <v>283.45</v>
      </c>
      <c r="F278">
        <v>6.1612</v>
      </c>
      <c r="G278">
        <v>-0.35170000000000001</v>
      </c>
      <c r="H278">
        <v>283.28879999999998</v>
      </c>
      <c r="I278">
        <v>0</v>
      </c>
    </row>
    <row r="279" spans="1:9" x14ac:dyDescent="0.35">
      <c r="A279" t="s">
        <v>13</v>
      </c>
      <c r="B279" t="s">
        <v>97</v>
      </c>
      <c r="C279" t="s">
        <v>66</v>
      </c>
      <c r="D279" t="s">
        <v>95</v>
      </c>
      <c r="E279">
        <v>284.97399999999999</v>
      </c>
      <c r="F279">
        <v>6.2449500000000002</v>
      </c>
      <c r="G279">
        <v>-0.35444999999999999</v>
      </c>
      <c r="H279">
        <v>284.81049999999999</v>
      </c>
      <c r="I279">
        <v>0</v>
      </c>
    </row>
    <row r="280" spans="1:9" x14ac:dyDescent="0.35">
      <c r="A280" t="s">
        <v>14</v>
      </c>
      <c r="B280" t="s">
        <v>97</v>
      </c>
      <c r="C280" t="s">
        <v>66</v>
      </c>
      <c r="D280" t="s">
        <v>95</v>
      </c>
      <c r="E280">
        <v>286.49799999999999</v>
      </c>
      <c r="F280">
        <v>6.3287000000000004</v>
      </c>
      <c r="G280">
        <v>-0.35720000000000002</v>
      </c>
      <c r="H280">
        <v>286.3322</v>
      </c>
      <c r="I280">
        <v>0</v>
      </c>
    </row>
    <row r="281" spans="1:9" x14ac:dyDescent="0.35">
      <c r="A281" t="s">
        <v>15</v>
      </c>
      <c r="B281" t="s">
        <v>15</v>
      </c>
      <c r="C281" t="s">
        <v>15</v>
      </c>
      <c r="D281" t="s">
        <v>15</v>
      </c>
    </row>
    <row r="282" spans="1:9" x14ac:dyDescent="0.35">
      <c r="A282" t="s">
        <v>9</v>
      </c>
      <c r="B282" t="s">
        <v>98</v>
      </c>
      <c r="C282" t="s">
        <v>11</v>
      </c>
      <c r="D282" t="s">
        <v>19</v>
      </c>
      <c r="E282">
        <v>286.72000000000003</v>
      </c>
      <c r="F282">
        <v>6.3410000000000002</v>
      </c>
      <c r="G282">
        <v>-0.35759999999999997</v>
      </c>
      <c r="H282">
        <v>286.55410000000001</v>
      </c>
      <c r="I282">
        <v>0</v>
      </c>
    </row>
    <row r="283" spans="1:9" x14ac:dyDescent="0.35">
      <c r="A283" t="s">
        <v>13</v>
      </c>
      <c r="B283" t="s">
        <v>98</v>
      </c>
      <c r="C283" t="s">
        <v>11</v>
      </c>
      <c r="D283" t="s">
        <v>19</v>
      </c>
      <c r="E283">
        <v>286.72000000000003</v>
      </c>
      <c r="F283">
        <v>6.3410000000000002</v>
      </c>
      <c r="G283">
        <v>-0.35759999999999997</v>
      </c>
      <c r="H283">
        <v>286.55410000000001</v>
      </c>
      <c r="I283">
        <v>0</v>
      </c>
    </row>
    <row r="284" spans="1:9" x14ac:dyDescent="0.35">
      <c r="A284" t="s">
        <v>14</v>
      </c>
      <c r="B284" t="s">
        <v>98</v>
      </c>
      <c r="C284" t="s">
        <v>11</v>
      </c>
      <c r="D284" t="s">
        <v>19</v>
      </c>
      <c r="E284">
        <v>286.72000000000003</v>
      </c>
      <c r="F284">
        <v>6.3410000000000002</v>
      </c>
      <c r="G284">
        <v>-0.35759999999999997</v>
      </c>
      <c r="H284">
        <v>286.55410000000001</v>
      </c>
      <c r="I284">
        <v>0</v>
      </c>
    </row>
    <row r="285" spans="1:9" x14ac:dyDescent="0.35">
      <c r="A285" t="s">
        <v>15</v>
      </c>
      <c r="B285" t="s">
        <v>15</v>
      </c>
      <c r="C285" t="s">
        <v>15</v>
      </c>
      <c r="D285" t="s">
        <v>15</v>
      </c>
    </row>
    <row r="286" spans="1:9" x14ac:dyDescent="0.35">
      <c r="A286" t="s">
        <v>9</v>
      </c>
      <c r="B286" t="s">
        <v>99</v>
      </c>
      <c r="C286" t="s">
        <v>100</v>
      </c>
      <c r="D286" t="s">
        <v>101</v>
      </c>
      <c r="E286">
        <v>286.94200000000001</v>
      </c>
      <c r="F286">
        <v>6.3532000000000002</v>
      </c>
      <c r="G286">
        <v>-0.35799999999999998</v>
      </c>
      <c r="H286">
        <v>286.77609999999999</v>
      </c>
      <c r="I286">
        <v>0</v>
      </c>
    </row>
    <row r="287" spans="1:9" x14ac:dyDescent="0.35">
      <c r="A287" t="s">
        <v>13</v>
      </c>
      <c r="B287" t="s">
        <v>99</v>
      </c>
      <c r="C287" t="s">
        <v>100</v>
      </c>
      <c r="D287" t="s">
        <v>101</v>
      </c>
      <c r="E287">
        <v>287.32299999999998</v>
      </c>
      <c r="F287">
        <v>6.3741500000000002</v>
      </c>
      <c r="G287">
        <v>-0.35870000000000002</v>
      </c>
      <c r="H287">
        <v>287.15649999999999</v>
      </c>
      <c r="I287">
        <v>0</v>
      </c>
    </row>
    <row r="288" spans="1:9" x14ac:dyDescent="0.35">
      <c r="A288" t="s">
        <v>14</v>
      </c>
      <c r="B288" t="s">
        <v>99</v>
      </c>
      <c r="C288" t="s">
        <v>100</v>
      </c>
      <c r="D288" t="s">
        <v>101</v>
      </c>
      <c r="E288">
        <v>287.70400000000001</v>
      </c>
      <c r="F288">
        <v>6.3951000000000002</v>
      </c>
      <c r="G288">
        <v>-0.3594</v>
      </c>
      <c r="H288">
        <v>287.5369</v>
      </c>
      <c r="I288">
        <v>0</v>
      </c>
    </row>
    <row r="289" spans="1:9" x14ac:dyDescent="0.35">
      <c r="A289" t="s">
        <v>15</v>
      </c>
      <c r="B289" t="s">
        <v>15</v>
      </c>
      <c r="C289" t="s">
        <v>15</v>
      </c>
      <c r="D289" t="s">
        <v>15</v>
      </c>
    </row>
    <row r="290" spans="1:9" x14ac:dyDescent="0.35">
      <c r="A290" t="s">
        <v>9</v>
      </c>
      <c r="B290" t="s">
        <v>55</v>
      </c>
      <c r="C290" t="s">
        <v>11</v>
      </c>
      <c r="D290" t="s">
        <v>56</v>
      </c>
      <c r="E290">
        <v>288.142</v>
      </c>
      <c r="F290">
        <v>6.4191000000000003</v>
      </c>
      <c r="G290">
        <v>-0.36009999999999998</v>
      </c>
      <c r="H290">
        <v>287.9744</v>
      </c>
      <c r="I290">
        <v>0</v>
      </c>
    </row>
    <row r="291" spans="1:9" x14ac:dyDescent="0.35">
      <c r="A291" t="s">
        <v>13</v>
      </c>
      <c r="B291" t="s">
        <v>55</v>
      </c>
      <c r="C291" t="s">
        <v>11</v>
      </c>
      <c r="D291" t="s">
        <v>56</v>
      </c>
      <c r="E291">
        <v>288.142</v>
      </c>
      <c r="F291">
        <v>6.4191000000000003</v>
      </c>
      <c r="G291">
        <v>-0.36009999999999998</v>
      </c>
      <c r="H291">
        <v>287.9744</v>
      </c>
      <c r="I291">
        <v>0</v>
      </c>
    </row>
    <row r="292" spans="1:9" x14ac:dyDescent="0.35">
      <c r="A292" t="s">
        <v>14</v>
      </c>
      <c r="B292" t="s">
        <v>55</v>
      </c>
      <c r="C292" t="s">
        <v>11</v>
      </c>
      <c r="D292" t="s">
        <v>56</v>
      </c>
      <c r="E292">
        <v>288.142</v>
      </c>
      <c r="F292">
        <v>6.4191000000000003</v>
      </c>
      <c r="G292">
        <v>-0.36009999999999998</v>
      </c>
      <c r="H292">
        <v>287.9744</v>
      </c>
      <c r="I292">
        <v>0</v>
      </c>
    </row>
    <row r="293" spans="1:9" x14ac:dyDescent="0.35">
      <c r="A293" t="s">
        <v>15</v>
      </c>
      <c r="B293" t="s">
        <v>15</v>
      </c>
      <c r="C293" t="s">
        <v>15</v>
      </c>
      <c r="D293" t="s">
        <v>15</v>
      </c>
    </row>
    <row r="294" spans="1:9" x14ac:dyDescent="0.35">
      <c r="A294" t="s">
        <v>9</v>
      </c>
      <c r="B294" t="s">
        <v>55</v>
      </c>
      <c r="C294" t="s">
        <v>11</v>
      </c>
      <c r="D294" t="s">
        <v>56</v>
      </c>
      <c r="E294">
        <v>291.29199999999997</v>
      </c>
      <c r="F294">
        <v>6.5922999999999998</v>
      </c>
      <c r="G294">
        <v>-0.36580000000000001</v>
      </c>
      <c r="H294">
        <v>291.11930000000001</v>
      </c>
      <c r="I294">
        <v>0</v>
      </c>
    </row>
    <row r="295" spans="1:9" x14ac:dyDescent="0.35">
      <c r="A295" t="s">
        <v>13</v>
      </c>
      <c r="B295" t="s">
        <v>55</v>
      </c>
      <c r="C295" t="s">
        <v>11</v>
      </c>
      <c r="D295" t="s">
        <v>56</v>
      </c>
      <c r="E295">
        <v>291.29199999999997</v>
      </c>
      <c r="F295">
        <v>6.5922999999999998</v>
      </c>
      <c r="G295">
        <v>-0.36580000000000001</v>
      </c>
      <c r="H295">
        <v>291.11930000000001</v>
      </c>
      <c r="I295">
        <v>0</v>
      </c>
    </row>
    <row r="296" spans="1:9" x14ac:dyDescent="0.35">
      <c r="A296" t="s">
        <v>14</v>
      </c>
      <c r="B296" t="s">
        <v>55</v>
      </c>
      <c r="C296" t="s">
        <v>11</v>
      </c>
      <c r="D296" t="s">
        <v>56</v>
      </c>
      <c r="E296">
        <v>291.29199999999997</v>
      </c>
      <c r="F296">
        <v>6.5922999999999998</v>
      </c>
      <c r="G296">
        <v>-0.36580000000000001</v>
      </c>
      <c r="H296">
        <v>291.11930000000001</v>
      </c>
      <c r="I296">
        <v>0</v>
      </c>
    </row>
    <row r="297" spans="1:9" x14ac:dyDescent="0.35">
      <c r="A297" t="s">
        <v>15</v>
      </c>
      <c r="B297" t="s">
        <v>15</v>
      </c>
      <c r="C297" t="s">
        <v>15</v>
      </c>
      <c r="D297" t="s">
        <v>15</v>
      </c>
    </row>
    <row r="298" spans="1:9" x14ac:dyDescent="0.35">
      <c r="A298" t="s">
        <v>9</v>
      </c>
      <c r="B298" t="s">
        <v>102</v>
      </c>
      <c r="C298" t="s">
        <v>11</v>
      </c>
      <c r="D298" t="s">
        <v>17</v>
      </c>
      <c r="E298">
        <v>291.69799999999998</v>
      </c>
      <c r="F298">
        <v>6.6146000000000003</v>
      </c>
      <c r="G298">
        <v>-0.36649999999999999</v>
      </c>
      <c r="H298">
        <v>291.52510000000001</v>
      </c>
      <c r="I298">
        <v>0</v>
      </c>
    </row>
    <row r="299" spans="1:9" x14ac:dyDescent="0.35">
      <c r="A299" t="s">
        <v>13</v>
      </c>
      <c r="B299" t="s">
        <v>102</v>
      </c>
      <c r="C299" t="s">
        <v>11</v>
      </c>
      <c r="D299" t="s">
        <v>17</v>
      </c>
      <c r="E299">
        <v>291.69799999999998</v>
      </c>
      <c r="F299">
        <v>6.6146000000000003</v>
      </c>
      <c r="G299">
        <v>-0.36649999999999999</v>
      </c>
      <c r="H299">
        <v>291.52510000000001</v>
      </c>
      <c r="I299">
        <v>0</v>
      </c>
    </row>
    <row r="300" spans="1:9" x14ac:dyDescent="0.35">
      <c r="A300" t="s">
        <v>14</v>
      </c>
      <c r="B300" t="s">
        <v>102</v>
      </c>
      <c r="C300" t="s">
        <v>11</v>
      </c>
      <c r="D300" t="s">
        <v>17</v>
      </c>
      <c r="E300">
        <v>291.69799999999998</v>
      </c>
      <c r="F300">
        <v>6.6146000000000003</v>
      </c>
      <c r="G300">
        <v>-0.36649999999999999</v>
      </c>
      <c r="H300">
        <v>291.52510000000001</v>
      </c>
      <c r="I300">
        <v>0</v>
      </c>
    </row>
    <row r="301" spans="1:9" x14ac:dyDescent="0.35">
      <c r="A301" t="s">
        <v>15</v>
      </c>
      <c r="B301" t="s">
        <v>15</v>
      </c>
      <c r="C301" t="s">
        <v>15</v>
      </c>
      <c r="D301" t="s">
        <v>15</v>
      </c>
    </row>
    <row r="302" spans="1:9" x14ac:dyDescent="0.35">
      <c r="A302" t="s">
        <v>9</v>
      </c>
      <c r="B302" t="s">
        <v>103</v>
      </c>
      <c r="C302" t="s">
        <v>11</v>
      </c>
      <c r="D302" t="s">
        <v>12</v>
      </c>
      <c r="E302">
        <v>295.02499999999998</v>
      </c>
      <c r="F302">
        <v>6.7975000000000003</v>
      </c>
      <c r="G302">
        <v>-0.3725</v>
      </c>
      <c r="H302">
        <v>294.84699999999998</v>
      </c>
      <c r="I302">
        <v>0</v>
      </c>
    </row>
    <row r="303" spans="1:9" x14ac:dyDescent="0.35">
      <c r="A303" t="s">
        <v>13</v>
      </c>
      <c r="B303" t="s">
        <v>103</v>
      </c>
      <c r="C303" t="s">
        <v>11</v>
      </c>
      <c r="D303" t="s">
        <v>12</v>
      </c>
      <c r="E303">
        <v>295.02499999999998</v>
      </c>
      <c r="F303">
        <v>6.7975000000000003</v>
      </c>
      <c r="G303">
        <v>-0.3725</v>
      </c>
      <c r="H303">
        <v>294.84699999999998</v>
      </c>
      <c r="I303">
        <v>0</v>
      </c>
    </row>
    <row r="304" spans="1:9" x14ac:dyDescent="0.35">
      <c r="A304" t="s">
        <v>14</v>
      </c>
      <c r="B304" t="s">
        <v>103</v>
      </c>
      <c r="C304" t="s">
        <v>11</v>
      </c>
      <c r="D304" t="s">
        <v>12</v>
      </c>
      <c r="E304">
        <v>295.02499999999998</v>
      </c>
      <c r="F304">
        <v>6.7975000000000003</v>
      </c>
      <c r="G304">
        <v>-0.3725</v>
      </c>
      <c r="H304">
        <v>294.84699999999998</v>
      </c>
      <c r="I304">
        <v>0</v>
      </c>
    </row>
    <row r="305" spans="1:9" x14ac:dyDescent="0.35">
      <c r="A305" t="s">
        <v>15</v>
      </c>
      <c r="B305" t="s">
        <v>15</v>
      </c>
      <c r="C305" t="s">
        <v>15</v>
      </c>
      <c r="D305" t="s">
        <v>15</v>
      </c>
    </row>
    <row r="306" spans="1:9" x14ac:dyDescent="0.35">
      <c r="A306" t="s">
        <v>9</v>
      </c>
      <c r="B306" t="s">
        <v>104</v>
      </c>
      <c r="C306" t="s">
        <v>11</v>
      </c>
      <c r="D306" t="s">
        <v>19</v>
      </c>
      <c r="E306">
        <v>333.029</v>
      </c>
      <c r="F306">
        <v>8.8863000000000003</v>
      </c>
      <c r="G306">
        <v>-0.441</v>
      </c>
      <c r="H306">
        <v>332.79340000000002</v>
      </c>
      <c r="I306">
        <v>0</v>
      </c>
    </row>
    <row r="307" spans="1:9" x14ac:dyDescent="0.35">
      <c r="A307" t="s">
        <v>13</v>
      </c>
      <c r="B307" t="s">
        <v>104</v>
      </c>
      <c r="C307" t="s">
        <v>11</v>
      </c>
      <c r="D307" t="s">
        <v>19</v>
      </c>
      <c r="E307">
        <v>333.029</v>
      </c>
      <c r="F307">
        <v>8.8863000000000003</v>
      </c>
      <c r="G307">
        <v>-0.441</v>
      </c>
      <c r="H307">
        <v>332.79340000000002</v>
      </c>
      <c r="I307">
        <v>0</v>
      </c>
    </row>
    <row r="308" spans="1:9" x14ac:dyDescent="0.35">
      <c r="A308" t="s">
        <v>14</v>
      </c>
      <c r="B308" t="s">
        <v>104</v>
      </c>
      <c r="C308" t="s">
        <v>11</v>
      </c>
      <c r="D308" t="s">
        <v>19</v>
      </c>
      <c r="E308">
        <v>333.029</v>
      </c>
      <c r="F308">
        <v>8.8863000000000003</v>
      </c>
      <c r="G308">
        <v>-0.441</v>
      </c>
      <c r="H308">
        <v>332.79340000000002</v>
      </c>
      <c r="I308">
        <v>0</v>
      </c>
    </row>
    <row r="309" spans="1:9" x14ac:dyDescent="0.35">
      <c r="A309" t="s">
        <v>15</v>
      </c>
      <c r="B309" t="s">
        <v>15</v>
      </c>
      <c r="C309" t="s">
        <v>15</v>
      </c>
      <c r="D309" t="s">
        <v>15</v>
      </c>
    </row>
    <row r="310" spans="1:9" x14ac:dyDescent="0.35">
      <c r="A310" t="s">
        <v>9</v>
      </c>
      <c r="B310" t="s">
        <v>105</v>
      </c>
      <c r="C310" t="s">
        <v>11</v>
      </c>
      <c r="D310" t="s">
        <v>17</v>
      </c>
      <c r="E310">
        <v>333.11799999999999</v>
      </c>
      <c r="F310">
        <v>8.8911999999999995</v>
      </c>
      <c r="G310">
        <v>-0.44119999999999998</v>
      </c>
      <c r="H310">
        <v>332.88209999999998</v>
      </c>
      <c r="I310">
        <v>0</v>
      </c>
    </row>
    <row r="311" spans="1:9" x14ac:dyDescent="0.35">
      <c r="A311" t="s">
        <v>13</v>
      </c>
      <c r="B311" t="s">
        <v>105</v>
      </c>
      <c r="C311" t="s">
        <v>11</v>
      </c>
      <c r="D311" t="s">
        <v>17</v>
      </c>
      <c r="E311">
        <v>333.11799999999999</v>
      </c>
      <c r="F311">
        <v>8.8911999999999995</v>
      </c>
      <c r="G311">
        <v>-0.44119999999999998</v>
      </c>
      <c r="H311">
        <v>332.88209999999998</v>
      </c>
      <c r="I311">
        <v>0</v>
      </c>
    </row>
    <row r="312" spans="1:9" x14ac:dyDescent="0.35">
      <c r="A312" t="s">
        <v>14</v>
      </c>
      <c r="B312" t="s">
        <v>105</v>
      </c>
      <c r="C312" t="s">
        <v>11</v>
      </c>
      <c r="D312" t="s">
        <v>17</v>
      </c>
      <c r="E312">
        <v>333.11799999999999</v>
      </c>
      <c r="F312">
        <v>8.8911999999999995</v>
      </c>
      <c r="G312">
        <v>-0.44119999999999998</v>
      </c>
      <c r="H312">
        <v>332.88209999999998</v>
      </c>
      <c r="I312">
        <v>0</v>
      </c>
    </row>
    <row r="313" spans="1:9" x14ac:dyDescent="0.35">
      <c r="A313" t="s">
        <v>15</v>
      </c>
      <c r="B313" t="s">
        <v>15</v>
      </c>
      <c r="C313" t="s">
        <v>15</v>
      </c>
      <c r="D313" t="s">
        <v>15</v>
      </c>
    </row>
    <row r="314" spans="1:9" x14ac:dyDescent="0.35">
      <c r="A314" t="s">
        <v>9</v>
      </c>
      <c r="B314" t="s">
        <v>106</v>
      </c>
      <c r="C314" t="s">
        <v>11</v>
      </c>
      <c r="D314" t="s">
        <v>17</v>
      </c>
      <c r="E314">
        <v>334.23599999999999</v>
      </c>
      <c r="F314">
        <v>8.9526000000000003</v>
      </c>
      <c r="G314">
        <v>-0.44319999999999998</v>
      </c>
      <c r="H314">
        <v>333.9984</v>
      </c>
      <c r="I314">
        <v>0</v>
      </c>
    </row>
    <row r="315" spans="1:9" x14ac:dyDescent="0.35">
      <c r="A315" t="s">
        <v>13</v>
      </c>
      <c r="B315" t="s">
        <v>106</v>
      </c>
      <c r="C315" t="s">
        <v>11</v>
      </c>
      <c r="D315" t="s">
        <v>17</v>
      </c>
      <c r="E315">
        <v>334.23599999999999</v>
      </c>
      <c r="F315">
        <v>8.9526000000000003</v>
      </c>
      <c r="G315">
        <v>-0.44319999999999998</v>
      </c>
      <c r="H315">
        <v>333.9984</v>
      </c>
      <c r="I315">
        <v>0</v>
      </c>
    </row>
    <row r="316" spans="1:9" x14ac:dyDescent="0.35">
      <c r="A316" t="s">
        <v>14</v>
      </c>
      <c r="B316" t="s">
        <v>106</v>
      </c>
      <c r="C316" t="s">
        <v>11</v>
      </c>
      <c r="D316" t="s">
        <v>17</v>
      </c>
      <c r="E316">
        <v>334.23599999999999</v>
      </c>
      <c r="F316">
        <v>8.9526000000000003</v>
      </c>
      <c r="G316">
        <v>-0.44319999999999998</v>
      </c>
      <c r="H316">
        <v>333.9984</v>
      </c>
      <c r="I316">
        <v>0</v>
      </c>
    </row>
    <row r="317" spans="1:9" x14ac:dyDescent="0.35">
      <c r="A317" t="s">
        <v>15</v>
      </c>
      <c r="B317" t="s">
        <v>15</v>
      </c>
      <c r="C317" t="s">
        <v>15</v>
      </c>
      <c r="D317" t="s">
        <v>15</v>
      </c>
    </row>
    <row r="318" spans="1:9" x14ac:dyDescent="0.35">
      <c r="A318" t="s">
        <v>9</v>
      </c>
      <c r="B318" t="s">
        <v>107</v>
      </c>
      <c r="C318" t="s">
        <v>11</v>
      </c>
      <c r="D318" t="s">
        <v>19</v>
      </c>
      <c r="E318">
        <v>334.37599999999998</v>
      </c>
      <c r="F318">
        <v>8.9603000000000002</v>
      </c>
      <c r="G318">
        <v>-0.44350000000000001</v>
      </c>
      <c r="H318">
        <v>334.13819999999998</v>
      </c>
      <c r="I318">
        <v>0</v>
      </c>
    </row>
    <row r="319" spans="1:9" x14ac:dyDescent="0.35">
      <c r="A319" t="s">
        <v>13</v>
      </c>
      <c r="B319" t="s">
        <v>107</v>
      </c>
      <c r="C319" t="s">
        <v>11</v>
      </c>
      <c r="D319" t="s">
        <v>19</v>
      </c>
      <c r="E319">
        <v>334.37599999999998</v>
      </c>
      <c r="F319">
        <v>8.9603000000000002</v>
      </c>
      <c r="G319">
        <v>-0.44350000000000001</v>
      </c>
      <c r="H319">
        <v>334.13819999999998</v>
      </c>
      <c r="I319">
        <v>0</v>
      </c>
    </row>
    <row r="320" spans="1:9" x14ac:dyDescent="0.35">
      <c r="A320" t="s">
        <v>14</v>
      </c>
      <c r="B320" t="s">
        <v>107</v>
      </c>
      <c r="C320" t="s">
        <v>11</v>
      </c>
      <c r="D320" t="s">
        <v>19</v>
      </c>
      <c r="E320">
        <v>334.37599999999998</v>
      </c>
      <c r="F320">
        <v>8.9603000000000002</v>
      </c>
      <c r="G320">
        <v>-0.44350000000000001</v>
      </c>
      <c r="H320">
        <v>334.13819999999998</v>
      </c>
      <c r="I320">
        <v>0</v>
      </c>
    </row>
    <row r="321" spans="1:9" x14ac:dyDescent="0.35">
      <c r="A321" t="s">
        <v>15</v>
      </c>
      <c r="B321" t="s">
        <v>15</v>
      </c>
      <c r="C321" t="s">
        <v>15</v>
      </c>
      <c r="D321" t="s">
        <v>15</v>
      </c>
    </row>
    <row r="322" spans="1:9" x14ac:dyDescent="0.35">
      <c r="A322" t="s">
        <v>9</v>
      </c>
      <c r="B322" t="s">
        <v>108</v>
      </c>
      <c r="C322" t="s">
        <v>11</v>
      </c>
      <c r="D322" t="s">
        <v>12</v>
      </c>
      <c r="E322">
        <v>349.18299999999999</v>
      </c>
      <c r="F322">
        <v>9.7742000000000004</v>
      </c>
      <c r="G322">
        <v>-0.47010000000000002</v>
      </c>
      <c r="H322">
        <v>348.92250000000001</v>
      </c>
      <c r="I322">
        <v>0</v>
      </c>
    </row>
    <row r="323" spans="1:9" x14ac:dyDescent="0.35">
      <c r="A323" t="s">
        <v>13</v>
      </c>
      <c r="B323" t="s">
        <v>108</v>
      </c>
      <c r="C323" t="s">
        <v>11</v>
      </c>
      <c r="D323" t="s">
        <v>12</v>
      </c>
      <c r="E323">
        <v>349.18299999999999</v>
      </c>
      <c r="F323">
        <v>9.7742000000000004</v>
      </c>
      <c r="G323">
        <v>-0.47010000000000002</v>
      </c>
      <c r="H323">
        <v>348.92250000000001</v>
      </c>
      <c r="I323">
        <v>0</v>
      </c>
    </row>
    <row r="324" spans="1:9" x14ac:dyDescent="0.35">
      <c r="A324" t="s">
        <v>14</v>
      </c>
      <c r="B324" t="s">
        <v>108</v>
      </c>
      <c r="C324" t="s">
        <v>11</v>
      </c>
      <c r="D324" t="s">
        <v>12</v>
      </c>
      <c r="E324">
        <v>349.18299999999999</v>
      </c>
      <c r="F324">
        <v>9.7742000000000004</v>
      </c>
      <c r="G324">
        <v>-0.47010000000000002</v>
      </c>
      <c r="H324">
        <v>348.92250000000001</v>
      </c>
      <c r="I324">
        <v>0</v>
      </c>
    </row>
    <row r="325" spans="1:9" x14ac:dyDescent="0.35">
      <c r="A325" t="s">
        <v>15</v>
      </c>
      <c r="B325" t="s">
        <v>15</v>
      </c>
      <c r="C325" t="s">
        <v>15</v>
      </c>
      <c r="D325" t="s">
        <v>15</v>
      </c>
    </row>
    <row r="326" spans="1:9" x14ac:dyDescent="0.35">
      <c r="A326" t="s">
        <v>9</v>
      </c>
      <c r="B326" t="s">
        <v>109</v>
      </c>
      <c r="C326" t="s">
        <v>11</v>
      </c>
      <c r="D326" t="s">
        <v>17</v>
      </c>
      <c r="E326">
        <v>349.53199999999998</v>
      </c>
      <c r="F326">
        <v>9.7934000000000001</v>
      </c>
      <c r="G326">
        <v>-0.4708</v>
      </c>
      <c r="H326">
        <v>349.2713</v>
      </c>
      <c r="I326">
        <v>0</v>
      </c>
    </row>
    <row r="327" spans="1:9" x14ac:dyDescent="0.35">
      <c r="A327" t="s">
        <v>13</v>
      </c>
      <c r="B327" t="s">
        <v>109</v>
      </c>
      <c r="C327" t="s">
        <v>11</v>
      </c>
      <c r="D327" t="s">
        <v>17</v>
      </c>
      <c r="E327">
        <v>349.53199999999998</v>
      </c>
      <c r="F327">
        <v>9.7934000000000001</v>
      </c>
      <c r="G327">
        <v>-0.4708</v>
      </c>
      <c r="H327">
        <v>349.2713</v>
      </c>
      <c r="I327">
        <v>0</v>
      </c>
    </row>
    <row r="328" spans="1:9" x14ac:dyDescent="0.35">
      <c r="A328" t="s">
        <v>14</v>
      </c>
      <c r="B328" t="s">
        <v>109</v>
      </c>
      <c r="C328" t="s">
        <v>11</v>
      </c>
      <c r="D328" t="s">
        <v>17</v>
      </c>
      <c r="E328">
        <v>349.53199999999998</v>
      </c>
      <c r="F328">
        <v>9.7934000000000001</v>
      </c>
      <c r="G328">
        <v>-0.4708</v>
      </c>
      <c r="H328">
        <v>349.2713</v>
      </c>
      <c r="I328">
        <v>0</v>
      </c>
    </row>
    <row r="329" spans="1:9" x14ac:dyDescent="0.35">
      <c r="A329" t="s">
        <v>15</v>
      </c>
      <c r="B329" t="s">
        <v>15</v>
      </c>
      <c r="C329" t="s">
        <v>15</v>
      </c>
      <c r="D329" t="s">
        <v>15</v>
      </c>
    </row>
    <row r="330" spans="1:9" x14ac:dyDescent="0.35">
      <c r="A330" t="s">
        <v>9</v>
      </c>
      <c r="B330" t="s">
        <v>110</v>
      </c>
      <c r="C330" t="s">
        <v>11</v>
      </c>
      <c r="D330" t="s">
        <v>19</v>
      </c>
      <c r="E330">
        <v>351.03</v>
      </c>
      <c r="F330">
        <v>9.8757000000000001</v>
      </c>
      <c r="G330">
        <v>-0.47349999999999998</v>
      </c>
      <c r="H330">
        <v>350.7672</v>
      </c>
      <c r="I330">
        <v>0</v>
      </c>
    </row>
    <row r="331" spans="1:9" x14ac:dyDescent="0.35">
      <c r="A331" t="s">
        <v>13</v>
      </c>
      <c r="B331" t="s">
        <v>110</v>
      </c>
      <c r="C331" t="s">
        <v>11</v>
      </c>
      <c r="D331" t="s">
        <v>19</v>
      </c>
      <c r="E331">
        <v>351.03</v>
      </c>
      <c r="F331">
        <v>9.8757000000000001</v>
      </c>
      <c r="G331">
        <v>-0.47349999999999998</v>
      </c>
      <c r="H331">
        <v>350.7672</v>
      </c>
      <c r="I331">
        <v>0</v>
      </c>
    </row>
    <row r="332" spans="1:9" x14ac:dyDescent="0.35">
      <c r="A332" t="s">
        <v>14</v>
      </c>
      <c r="B332" t="s">
        <v>110</v>
      </c>
      <c r="C332" t="s">
        <v>11</v>
      </c>
      <c r="D332" t="s">
        <v>19</v>
      </c>
      <c r="E332">
        <v>351.03</v>
      </c>
      <c r="F332">
        <v>9.8757000000000001</v>
      </c>
      <c r="G332">
        <v>-0.47349999999999998</v>
      </c>
      <c r="H332">
        <v>350.7672</v>
      </c>
      <c r="I332">
        <v>0</v>
      </c>
    </row>
    <row r="333" spans="1:9" x14ac:dyDescent="0.35">
      <c r="A333" t="s">
        <v>15</v>
      </c>
      <c r="B333" t="s">
        <v>15</v>
      </c>
      <c r="C333" t="s">
        <v>15</v>
      </c>
      <c r="D333" t="s">
        <v>15</v>
      </c>
    </row>
    <row r="334" spans="1:9" x14ac:dyDescent="0.35">
      <c r="A334" t="s">
        <v>9</v>
      </c>
      <c r="B334" t="s">
        <v>55</v>
      </c>
      <c r="C334" t="s">
        <v>11</v>
      </c>
      <c r="D334" t="s">
        <v>56</v>
      </c>
      <c r="E334">
        <v>351.33499999999998</v>
      </c>
      <c r="F334">
        <v>9.8925000000000001</v>
      </c>
      <c r="G334">
        <v>-0.47399999999999998</v>
      </c>
      <c r="H334">
        <v>351.07159999999999</v>
      </c>
      <c r="I334">
        <v>0</v>
      </c>
    </row>
    <row r="335" spans="1:9" x14ac:dyDescent="0.35">
      <c r="A335" t="s">
        <v>13</v>
      </c>
      <c r="B335" t="s">
        <v>55</v>
      </c>
      <c r="C335" t="s">
        <v>11</v>
      </c>
      <c r="D335" t="s">
        <v>56</v>
      </c>
      <c r="E335">
        <v>351.33499999999998</v>
      </c>
      <c r="F335">
        <v>9.8925000000000001</v>
      </c>
      <c r="G335">
        <v>-0.47399999999999998</v>
      </c>
      <c r="H335">
        <v>351.07159999999999</v>
      </c>
      <c r="I335">
        <v>0</v>
      </c>
    </row>
    <row r="336" spans="1:9" x14ac:dyDescent="0.35">
      <c r="A336" t="s">
        <v>14</v>
      </c>
      <c r="B336" t="s">
        <v>55</v>
      </c>
      <c r="C336" t="s">
        <v>11</v>
      </c>
      <c r="D336" t="s">
        <v>56</v>
      </c>
      <c r="E336">
        <v>351.33499999999998</v>
      </c>
      <c r="F336">
        <v>9.8925000000000001</v>
      </c>
      <c r="G336">
        <v>-0.47399999999999998</v>
      </c>
      <c r="H336">
        <v>351.07159999999999</v>
      </c>
      <c r="I336">
        <v>0</v>
      </c>
    </row>
    <row r="337" spans="1:9" x14ac:dyDescent="0.35">
      <c r="A337" t="s">
        <v>15</v>
      </c>
      <c r="B337" t="s">
        <v>15</v>
      </c>
      <c r="C337" t="s">
        <v>15</v>
      </c>
      <c r="D337" t="s">
        <v>15</v>
      </c>
    </row>
    <row r="338" spans="1:9" x14ac:dyDescent="0.35">
      <c r="A338" t="s">
        <v>9</v>
      </c>
      <c r="B338" t="s">
        <v>111</v>
      </c>
      <c r="C338" t="s">
        <v>11</v>
      </c>
      <c r="D338" t="s">
        <v>24</v>
      </c>
      <c r="E338">
        <v>351.66500000000002</v>
      </c>
      <c r="F338">
        <v>9.9106000000000005</v>
      </c>
      <c r="G338">
        <v>-0.47460000000000002</v>
      </c>
      <c r="H338">
        <v>351.40129999999999</v>
      </c>
      <c r="I338">
        <v>0</v>
      </c>
    </row>
    <row r="339" spans="1:9" x14ac:dyDescent="0.35">
      <c r="A339" t="s">
        <v>13</v>
      </c>
      <c r="B339" t="s">
        <v>111</v>
      </c>
      <c r="C339" t="s">
        <v>11</v>
      </c>
      <c r="D339" t="s">
        <v>24</v>
      </c>
      <c r="E339">
        <v>351.66500000000002</v>
      </c>
      <c r="F339">
        <v>9.9106000000000005</v>
      </c>
      <c r="G339">
        <v>-0.47460000000000002</v>
      </c>
      <c r="H339">
        <v>351.40129999999999</v>
      </c>
      <c r="I339">
        <v>0</v>
      </c>
    </row>
    <row r="340" spans="1:9" x14ac:dyDescent="0.35">
      <c r="A340" t="s">
        <v>14</v>
      </c>
      <c r="B340" t="s">
        <v>111</v>
      </c>
      <c r="C340" t="s">
        <v>11</v>
      </c>
      <c r="D340" t="s">
        <v>24</v>
      </c>
      <c r="E340">
        <v>351.66500000000002</v>
      </c>
      <c r="F340">
        <v>9.9106000000000005</v>
      </c>
      <c r="G340">
        <v>-0.47460000000000002</v>
      </c>
      <c r="H340">
        <v>351.40129999999999</v>
      </c>
      <c r="I340">
        <v>0</v>
      </c>
    </row>
    <row r="341" spans="1:9" x14ac:dyDescent="0.35">
      <c r="A341" t="s">
        <v>15</v>
      </c>
      <c r="B341" t="s">
        <v>15</v>
      </c>
      <c r="C341" t="s">
        <v>15</v>
      </c>
      <c r="D341" t="s">
        <v>15</v>
      </c>
    </row>
    <row r="342" spans="1:9" x14ac:dyDescent="0.35">
      <c r="A342" t="s">
        <v>9</v>
      </c>
      <c r="B342" t="s">
        <v>55</v>
      </c>
      <c r="C342" t="s">
        <v>11</v>
      </c>
      <c r="D342" t="s">
        <v>56</v>
      </c>
      <c r="E342">
        <v>352.72199999999998</v>
      </c>
      <c r="F342">
        <v>9.9687000000000001</v>
      </c>
      <c r="G342">
        <v>-0.47649999999999998</v>
      </c>
      <c r="H342">
        <v>352.45650000000001</v>
      </c>
      <c r="I342">
        <v>0</v>
      </c>
    </row>
    <row r="343" spans="1:9" x14ac:dyDescent="0.35">
      <c r="A343" t="s">
        <v>13</v>
      </c>
      <c r="B343" t="s">
        <v>55</v>
      </c>
      <c r="C343" t="s">
        <v>11</v>
      </c>
      <c r="D343" t="s">
        <v>56</v>
      </c>
      <c r="E343">
        <v>352.72199999999998</v>
      </c>
      <c r="F343">
        <v>9.9687000000000001</v>
      </c>
      <c r="G343">
        <v>-0.47649999999999998</v>
      </c>
      <c r="H343">
        <v>352.45650000000001</v>
      </c>
      <c r="I343">
        <v>0</v>
      </c>
    </row>
    <row r="344" spans="1:9" x14ac:dyDescent="0.35">
      <c r="A344" t="s">
        <v>14</v>
      </c>
      <c r="B344" t="s">
        <v>55</v>
      </c>
      <c r="C344" t="s">
        <v>11</v>
      </c>
      <c r="D344" t="s">
        <v>56</v>
      </c>
      <c r="E344">
        <v>352.72199999999998</v>
      </c>
      <c r="F344">
        <v>9.9687000000000001</v>
      </c>
      <c r="G344">
        <v>-0.47649999999999998</v>
      </c>
      <c r="H344">
        <v>352.45650000000001</v>
      </c>
      <c r="I344">
        <v>0</v>
      </c>
    </row>
    <row r="345" spans="1:9" x14ac:dyDescent="0.35">
      <c r="A345" t="s">
        <v>15</v>
      </c>
      <c r="B345" t="s">
        <v>15</v>
      </c>
      <c r="C345" t="s">
        <v>15</v>
      </c>
      <c r="D345" t="s">
        <v>15</v>
      </c>
    </row>
    <row r="346" spans="1:9" x14ac:dyDescent="0.35">
      <c r="A346" t="s">
        <v>9</v>
      </c>
      <c r="B346" t="s">
        <v>112</v>
      </c>
      <c r="C346" t="s">
        <v>43</v>
      </c>
      <c r="D346" t="s">
        <v>70</v>
      </c>
      <c r="E346">
        <v>353.00200000000001</v>
      </c>
      <c r="F346">
        <v>9.9840999999999998</v>
      </c>
      <c r="G346">
        <v>-0.47699999999999998</v>
      </c>
      <c r="H346">
        <v>352.7355</v>
      </c>
      <c r="I346">
        <v>0</v>
      </c>
    </row>
    <row r="347" spans="1:9" x14ac:dyDescent="0.35">
      <c r="A347" t="s">
        <v>13</v>
      </c>
      <c r="B347" t="s">
        <v>112</v>
      </c>
      <c r="C347" t="s">
        <v>43</v>
      </c>
      <c r="D347" t="s">
        <v>70</v>
      </c>
      <c r="E347">
        <v>354.52600000000001</v>
      </c>
      <c r="F347">
        <v>10.06785</v>
      </c>
      <c r="G347">
        <v>-0.47975000000000001</v>
      </c>
      <c r="H347">
        <v>354.25720000000001</v>
      </c>
      <c r="I347">
        <v>0</v>
      </c>
    </row>
    <row r="348" spans="1:9" x14ac:dyDescent="0.35">
      <c r="A348" t="s">
        <v>14</v>
      </c>
      <c r="B348" t="s">
        <v>112</v>
      </c>
      <c r="C348" t="s">
        <v>43</v>
      </c>
      <c r="D348" t="s">
        <v>70</v>
      </c>
      <c r="E348">
        <v>356.05</v>
      </c>
      <c r="F348">
        <v>10.1516</v>
      </c>
      <c r="G348">
        <v>-0.48249999999999998</v>
      </c>
      <c r="H348">
        <v>355.77890000000002</v>
      </c>
      <c r="I348">
        <v>0</v>
      </c>
    </row>
    <row r="349" spans="1:9" x14ac:dyDescent="0.35">
      <c r="A349" t="s">
        <v>15</v>
      </c>
      <c r="B349" t="s">
        <v>15</v>
      </c>
      <c r="C349" t="s">
        <v>15</v>
      </c>
      <c r="D349" t="s">
        <v>15</v>
      </c>
    </row>
    <row r="350" spans="1:9" x14ac:dyDescent="0.35">
      <c r="A350" t="s">
        <v>9</v>
      </c>
      <c r="B350" t="s">
        <v>113</v>
      </c>
      <c r="C350" t="s">
        <v>66</v>
      </c>
      <c r="D350" t="s">
        <v>95</v>
      </c>
      <c r="E350">
        <v>359.70600000000002</v>
      </c>
      <c r="F350">
        <v>10.352600000000001</v>
      </c>
      <c r="G350">
        <v>-0.48909999999999998</v>
      </c>
      <c r="H350">
        <v>359.42939999999999</v>
      </c>
      <c r="I350">
        <v>0</v>
      </c>
    </row>
    <row r="351" spans="1:9" x14ac:dyDescent="0.35">
      <c r="A351" t="s">
        <v>13</v>
      </c>
      <c r="B351" t="s">
        <v>113</v>
      </c>
      <c r="C351" t="s">
        <v>66</v>
      </c>
      <c r="D351" t="s">
        <v>95</v>
      </c>
      <c r="E351">
        <v>361.23</v>
      </c>
      <c r="F351">
        <v>10.436349999999999</v>
      </c>
      <c r="G351">
        <v>-0.49185000000000001</v>
      </c>
      <c r="H351">
        <v>360.95105000000001</v>
      </c>
      <c r="I351">
        <v>0</v>
      </c>
    </row>
    <row r="352" spans="1:9" x14ac:dyDescent="0.35">
      <c r="A352" t="s">
        <v>14</v>
      </c>
      <c r="B352" t="s">
        <v>113</v>
      </c>
      <c r="C352" t="s">
        <v>66</v>
      </c>
      <c r="D352" t="s">
        <v>95</v>
      </c>
      <c r="E352">
        <v>362.75400000000002</v>
      </c>
      <c r="F352">
        <v>10.520099999999999</v>
      </c>
      <c r="G352">
        <v>-0.49459999999999998</v>
      </c>
      <c r="H352">
        <v>362.47269999999997</v>
      </c>
      <c r="I352">
        <v>0</v>
      </c>
    </row>
    <row r="353" spans="1:9" x14ac:dyDescent="0.35">
      <c r="A353" t="s">
        <v>15</v>
      </c>
      <c r="B353" t="s">
        <v>15</v>
      </c>
      <c r="C353" t="s">
        <v>15</v>
      </c>
      <c r="D353" t="s">
        <v>15</v>
      </c>
    </row>
    <row r="354" spans="1:9" x14ac:dyDescent="0.35">
      <c r="A354" t="s">
        <v>9</v>
      </c>
      <c r="B354" t="s">
        <v>114</v>
      </c>
      <c r="C354" t="s">
        <v>66</v>
      </c>
      <c r="D354" t="s">
        <v>95</v>
      </c>
      <c r="E354">
        <v>363.05799999999999</v>
      </c>
      <c r="F354">
        <v>10.536799999999999</v>
      </c>
      <c r="G354">
        <v>-0.49509999999999998</v>
      </c>
      <c r="H354">
        <v>362.77629999999999</v>
      </c>
      <c r="I354">
        <v>0</v>
      </c>
    </row>
    <row r="355" spans="1:9" x14ac:dyDescent="0.35">
      <c r="A355" t="s">
        <v>13</v>
      </c>
      <c r="B355" t="s">
        <v>114</v>
      </c>
      <c r="C355" t="s">
        <v>66</v>
      </c>
      <c r="D355" t="s">
        <v>95</v>
      </c>
      <c r="E355">
        <v>364.58199999999999</v>
      </c>
      <c r="F355">
        <v>10.62055</v>
      </c>
      <c r="G355">
        <v>-0.49785000000000001</v>
      </c>
      <c r="H355">
        <v>364.298</v>
      </c>
      <c r="I355">
        <v>0</v>
      </c>
    </row>
    <row r="356" spans="1:9" x14ac:dyDescent="0.35">
      <c r="A356" t="s">
        <v>14</v>
      </c>
      <c r="B356" t="s">
        <v>114</v>
      </c>
      <c r="C356" t="s">
        <v>66</v>
      </c>
      <c r="D356" t="s">
        <v>95</v>
      </c>
      <c r="E356">
        <v>366.10599999999999</v>
      </c>
      <c r="F356">
        <v>10.7043</v>
      </c>
      <c r="G356">
        <v>-0.50060000000000004</v>
      </c>
      <c r="H356">
        <v>365.81970000000001</v>
      </c>
      <c r="I356">
        <v>0</v>
      </c>
    </row>
    <row r="357" spans="1:9" x14ac:dyDescent="0.35">
      <c r="A357" t="s">
        <v>15</v>
      </c>
      <c r="B357" t="s">
        <v>15</v>
      </c>
      <c r="C357" t="s">
        <v>15</v>
      </c>
      <c r="D357" t="s">
        <v>15</v>
      </c>
    </row>
    <row r="358" spans="1:9" x14ac:dyDescent="0.35">
      <c r="A358" t="s">
        <v>9</v>
      </c>
      <c r="B358" t="s">
        <v>55</v>
      </c>
      <c r="C358" t="s">
        <v>11</v>
      </c>
      <c r="D358" t="s">
        <v>56</v>
      </c>
      <c r="E358">
        <v>366.41</v>
      </c>
      <c r="F358">
        <v>10.7211</v>
      </c>
      <c r="G358">
        <v>-0.50119999999999998</v>
      </c>
      <c r="H358">
        <v>366.12400000000002</v>
      </c>
      <c r="I358">
        <v>0</v>
      </c>
    </row>
    <row r="359" spans="1:9" x14ac:dyDescent="0.35">
      <c r="A359" t="s">
        <v>13</v>
      </c>
      <c r="B359" t="s">
        <v>55</v>
      </c>
      <c r="C359" t="s">
        <v>11</v>
      </c>
      <c r="D359" t="s">
        <v>56</v>
      </c>
      <c r="E359">
        <v>366.41</v>
      </c>
      <c r="F359">
        <v>10.7211</v>
      </c>
      <c r="G359">
        <v>-0.50119999999999998</v>
      </c>
      <c r="H359">
        <v>366.12400000000002</v>
      </c>
      <c r="I359">
        <v>0</v>
      </c>
    </row>
    <row r="360" spans="1:9" x14ac:dyDescent="0.35">
      <c r="A360" t="s">
        <v>14</v>
      </c>
      <c r="B360" t="s">
        <v>55</v>
      </c>
      <c r="C360" t="s">
        <v>11</v>
      </c>
      <c r="D360" t="s">
        <v>56</v>
      </c>
      <c r="E360">
        <v>366.41</v>
      </c>
      <c r="F360">
        <v>10.7211</v>
      </c>
      <c r="G360">
        <v>-0.50119999999999998</v>
      </c>
      <c r="H360">
        <v>366.12400000000002</v>
      </c>
      <c r="I360">
        <v>0</v>
      </c>
    </row>
    <row r="361" spans="1:9" x14ac:dyDescent="0.35">
      <c r="A361" t="s">
        <v>15</v>
      </c>
      <c r="B361" t="s">
        <v>15</v>
      </c>
      <c r="C361" t="s">
        <v>15</v>
      </c>
      <c r="D361" t="s">
        <v>15</v>
      </c>
    </row>
    <row r="362" spans="1:9" x14ac:dyDescent="0.35">
      <c r="A362" t="s">
        <v>9</v>
      </c>
      <c r="B362" t="s">
        <v>55</v>
      </c>
      <c r="C362" t="s">
        <v>11</v>
      </c>
      <c r="D362" t="s">
        <v>56</v>
      </c>
      <c r="E362">
        <v>366.43599999999998</v>
      </c>
      <c r="F362">
        <v>10.7225</v>
      </c>
      <c r="G362">
        <v>-0.50119999999999998</v>
      </c>
      <c r="H362">
        <v>366.14929999999998</v>
      </c>
      <c r="I362">
        <v>0</v>
      </c>
    </row>
    <row r="363" spans="1:9" x14ac:dyDescent="0.35">
      <c r="A363" t="s">
        <v>13</v>
      </c>
      <c r="B363" t="s">
        <v>55</v>
      </c>
      <c r="C363" t="s">
        <v>11</v>
      </c>
      <c r="D363" t="s">
        <v>56</v>
      </c>
      <c r="E363">
        <v>366.43599999999998</v>
      </c>
      <c r="F363">
        <v>10.7225</v>
      </c>
      <c r="G363">
        <v>-0.50119999999999998</v>
      </c>
      <c r="H363">
        <v>366.14929999999998</v>
      </c>
      <c r="I363">
        <v>0</v>
      </c>
    </row>
    <row r="364" spans="1:9" x14ac:dyDescent="0.35">
      <c r="A364" t="s">
        <v>14</v>
      </c>
      <c r="B364" t="s">
        <v>55</v>
      </c>
      <c r="C364" t="s">
        <v>11</v>
      </c>
      <c r="D364" t="s">
        <v>56</v>
      </c>
      <c r="E364">
        <v>366.43599999999998</v>
      </c>
      <c r="F364">
        <v>10.7225</v>
      </c>
      <c r="G364">
        <v>-0.50119999999999998</v>
      </c>
      <c r="H364">
        <v>366.14929999999998</v>
      </c>
      <c r="I364">
        <v>0</v>
      </c>
    </row>
    <row r="365" spans="1:9" x14ac:dyDescent="0.35">
      <c r="A365" t="s">
        <v>15</v>
      </c>
      <c r="B365" t="s">
        <v>15</v>
      </c>
      <c r="C365" t="s">
        <v>15</v>
      </c>
      <c r="D365" t="s">
        <v>15</v>
      </c>
    </row>
    <row r="366" spans="1:9" x14ac:dyDescent="0.35">
      <c r="A366" t="s">
        <v>9</v>
      </c>
      <c r="B366" t="s">
        <v>115</v>
      </c>
      <c r="C366" t="s">
        <v>27</v>
      </c>
      <c r="D366" t="s">
        <v>70</v>
      </c>
      <c r="E366">
        <v>366.43599999999998</v>
      </c>
      <c r="F366">
        <v>10.7225</v>
      </c>
      <c r="G366">
        <v>-0.50119999999999998</v>
      </c>
      <c r="H366">
        <v>366.14929999999998</v>
      </c>
      <c r="I366">
        <v>0</v>
      </c>
    </row>
    <row r="367" spans="1:9" x14ac:dyDescent="0.35">
      <c r="A367" t="s">
        <v>13</v>
      </c>
      <c r="B367" t="s">
        <v>115</v>
      </c>
      <c r="C367" t="s">
        <v>27</v>
      </c>
      <c r="D367" t="s">
        <v>70</v>
      </c>
      <c r="E367">
        <v>367.96</v>
      </c>
      <c r="F367">
        <v>10.81105</v>
      </c>
      <c r="G367">
        <v>-0.50395000000000001</v>
      </c>
      <c r="H367">
        <v>367.67070000000001</v>
      </c>
      <c r="I367">
        <v>0</v>
      </c>
    </row>
    <row r="368" spans="1:9" x14ac:dyDescent="0.35">
      <c r="A368" t="s">
        <v>14</v>
      </c>
      <c r="B368" t="s">
        <v>115</v>
      </c>
      <c r="C368" t="s">
        <v>27</v>
      </c>
      <c r="D368" t="s">
        <v>70</v>
      </c>
      <c r="E368">
        <v>369.48399999999998</v>
      </c>
      <c r="F368">
        <v>10.8996</v>
      </c>
      <c r="G368">
        <v>-0.50670000000000004</v>
      </c>
      <c r="H368">
        <v>369.19209999999998</v>
      </c>
      <c r="I368">
        <v>0</v>
      </c>
    </row>
    <row r="369" spans="1:9" x14ac:dyDescent="0.35">
      <c r="A369" t="s">
        <v>15</v>
      </c>
      <c r="B369" t="s">
        <v>15</v>
      </c>
      <c r="C369" t="s">
        <v>15</v>
      </c>
      <c r="D369" t="s">
        <v>15</v>
      </c>
    </row>
    <row r="370" spans="1:9" x14ac:dyDescent="0.35">
      <c r="A370" t="s">
        <v>9</v>
      </c>
      <c r="B370" t="s">
        <v>116</v>
      </c>
      <c r="C370" t="s">
        <v>27</v>
      </c>
      <c r="D370" t="s">
        <v>117</v>
      </c>
      <c r="E370">
        <v>369.94099999999997</v>
      </c>
      <c r="F370">
        <v>10.9277</v>
      </c>
      <c r="G370">
        <v>-0.50749999999999995</v>
      </c>
      <c r="H370">
        <v>369.64830000000001</v>
      </c>
      <c r="I370">
        <v>-90</v>
      </c>
    </row>
    <row r="371" spans="1:9" x14ac:dyDescent="0.35">
      <c r="A371" t="s">
        <v>13</v>
      </c>
      <c r="B371" t="s">
        <v>116</v>
      </c>
      <c r="C371" t="s">
        <v>27</v>
      </c>
      <c r="D371" t="s">
        <v>117</v>
      </c>
      <c r="E371">
        <v>371.46499999999997</v>
      </c>
      <c r="F371">
        <v>11.021100000000001</v>
      </c>
      <c r="G371">
        <v>-0.50905</v>
      </c>
      <c r="H371">
        <v>371.16944999999998</v>
      </c>
      <c r="I371">
        <v>-90</v>
      </c>
    </row>
    <row r="372" spans="1:9" x14ac:dyDescent="0.35">
      <c r="A372" t="s">
        <v>14</v>
      </c>
      <c r="B372" t="s">
        <v>116</v>
      </c>
      <c r="C372" t="s">
        <v>27</v>
      </c>
      <c r="D372" t="s">
        <v>117</v>
      </c>
      <c r="E372">
        <v>372.98899999999998</v>
      </c>
      <c r="F372">
        <v>11.1145</v>
      </c>
      <c r="G372">
        <v>-0.51060000000000005</v>
      </c>
      <c r="H372">
        <v>372.69060000000002</v>
      </c>
      <c r="I372">
        <v>-90</v>
      </c>
    </row>
    <row r="373" spans="1:9" x14ac:dyDescent="0.35">
      <c r="A373" t="s">
        <v>15</v>
      </c>
      <c r="B373" t="s">
        <v>15</v>
      </c>
      <c r="C373" t="s">
        <v>15</v>
      </c>
      <c r="D373" t="s">
        <v>15</v>
      </c>
    </row>
    <row r="374" spans="1:9" x14ac:dyDescent="0.35">
      <c r="A374" t="s">
        <v>9</v>
      </c>
      <c r="B374" t="s">
        <v>118</v>
      </c>
      <c r="C374" t="s">
        <v>27</v>
      </c>
      <c r="D374" t="s">
        <v>117</v>
      </c>
      <c r="E374">
        <v>379.69400000000002</v>
      </c>
      <c r="F374">
        <v>11.525399999999999</v>
      </c>
      <c r="G374">
        <v>-0.51190000000000002</v>
      </c>
      <c r="H374">
        <v>379.38290000000001</v>
      </c>
      <c r="I374">
        <v>-90</v>
      </c>
    </row>
    <row r="375" spans="1:9" x14ac:dyDescent="0.35">
      <c r="A375" t="s">
        <v>13</v>
      </c>
      <c r="B375" t="s">
        <v>118</v>
      </c>
      <c r="C375" t="s">
        <v>27</v>
      </c>
      <c r="D375" t="s">
        <v>117</v>
      </c>
      <c r="E375">
        <v>381.21800000000002</v>
      </c>
      <c r="F375">
        <v>11.61885</v>
      </c>
      <c r="G375">
        <v>-0.51100000000000001</v>
      </c>
      <c r="H375">
        <v>380.90404999999998</v>
      </c>
      <c r="I375">
        <v>-90</v>
      </c>
    </row>
    <row r="376" spans="1:9" x14ac:dyDescent="0.35">
      <c r="A376" t="s">
        <v>14</v>
      </c>
      <c r="B376" t="s">
        <v>118</v>
      </c>
      <c r="C376" t="s">
        <v>27</v>
      </c>
      <c r="D376" t="s">
        <v>117</v>
      </c>
      <c r="E376">
        <v>382.74200000000002</v>
      </c>
      <c r="F376">
        <v>11.712300000000001</v>
      </c>
      <c r="G376">
        <v>-0.5101</v>
      </c>
      <c r="H376">
        <v>382.42520000000002</v>
      </c>
      <c r="I376">
        <v>-90</v>
      </c>
    </row>
    <row r="377" spans="1:9" x14ac:dyDescent="0.35">
      <c r="A377" t="s">
        <v>15</v>
      </c>
      <c r="B377" t="s">
        <v>15</v>
      </c>
      <c r="C377" t="s">
        <v>15</v>
      </c>
      <c r="D377" t="s">
        <v>15</v>
      </c>
    </row>
    <row r="378" spans="1:9" x14ac:dyDescent="0.35">
      <c r="A378" t="s">
        <v>9</v>
      </c>
      <c r="B378" t="s">
        <v>55</v>
      </c>
      <c r="C378" t="s">
        <v>11</v>
      </c>
      <c r="D378" t="s">
        <v>56</v>
      </c>
      <c r="E378">
        <v>383.75700000000001</v>
      </c>
      <c r="F378">
        <v>11.7745</v>
      </c>
      <c r="G378">
        <v>-0.50870000000000004</v>
      </c>
      <c r="H378">
        <v>383.43889999999999</v>
      </c>
      <c r="I378">
        <v>0</v>
      </c>
    </row>
    <row r="379" spans="1:9" x14ac:dyDescent="0.35">
      <c r="A379" t="s">
        <v>13</v>
      </c>
      <c r="B379" t="s">
        <v>55</v>
      </c>
      <c r="C379" t="s">
        <v>11</v>
      </c>
      <c r="D379" t="s">
        <v>56</v>
      </c>
      <c r="E379">
        <v>383.75700000000001</v>
      </c>
      <c r="F379">
        <v>11.7745</v>
      </c>
      <c r="G379">
        <v>-0.50870000000000004</v>
      </c>
      <c r="H379">
        <v>383.43889999999999</v>
      </c>
      <c r="I379">
        <v>0</v>
      </c>
    </row>
    <row r="380" spans="1:9" x14ac:dyDescent="0.35">
      <c r="A380" t="s">
        <v>14</v>
      </c>
      <c r="B380" t="s">
        <v>55</v>
      </c>
      <c r="C380" t="s">
        <v>11</v>
      </c>
      <c r="D380" t="s">
        <v>56</v>
      </c>
      <c r="E380">
        <v>383.75700000000001</v>
      </c>
      <c r="F380">
        <v>11.7745</v>
      </c>
      <c r="G380">
        <v>-0.50870000000000004</v>
      </c>
      <c r="H380">
        <v>383.43889999999999</v>
      </c>
      <c r="I380">
        <v>0</v>
      </c>
    </row>
    <row r="381" spans="1:9" x14ac:dyDescent="0.35">
      <c r="A381" t="s">
        <v>15</v>
      </c>
      <c r="B381" t="s">
        <v>15</v>
      </c>
      <c r="C381" t="s">
        <v>15</v>
      </c>
      <c r="D381" t="s">
        <v>15</v>
      </c>
    </row>
    <row r="382" spans="1:9" x14ac:dyDescent="0.35">
      <c r="A382" t="s">
        <v>9</v>
      </c>
      <c r="B382" t="s">
        <v>119</v>
      </c>
      <c r="C382" t="s">
        <v>11</v>
      </c>
      <c r="D382" t="s">
        <v>24</v>
      </c>
      <c r="E382">
        <v>383.99900000000002</v>
      </c>
      <c r="F382">
        <v>11.789300000000001</v>
      </c>
      <c r="G382">
        <v>-0.50829999999999997</v>
      </c>
      <c r="H382">
        <v>383.67970000000003</v>
      </c>
      <c r="I382">
        <v>0</v>
      </c>
    </row>
    <row r="383" spans="1:9" x14ac:dyDescent="0.35">
      <c r="A383" t="s">
        <v>13</v>
      </c>
      <c r="B383" t="s">
        <v>119</v>
      </c>
      <c r="C383" t="s">
        <v>11</v>
      </c>
      <c r="D383" t="s">
        <v>24</v>
      </c>
      <c r="E383">
        <v>383.99900000000002</v>
      </c>
      <c r="F383">
        <v>11.789300000000001</v>
      </c>
      <c r="G383">
        <v>-0.50829999999999997</v>
      </c>
      <c r="H383">
        <v>383.67970000000003</v>
      </c>
      <c r="I383">
        <v>0</v>
      </c>
    </row>
    <row r="384" spans="1:9" x14ac:dyDescent="0.35">
      <c r="A384" t="s">
        <v>14</v>
      </c>
      <c r="B384" t="s">
        <v>119</v>
      </c>
      <c r="C384" t="s">
        <v>11</v>
      </c>
      <c r="D384" t="s">
        <v>24</v>
      </c>
      <c r="E384">
        <v>383.99900000000002</v>
      </c>
      <c r="F384">
        <v>11.789300000000001</v>
      </c>
      <c r="G384">
        <v>-0.50829999999999997</v>
      </c>
      <c r="H384">
        <v>383.67970000000003</v>
      </c>
      <c r="I384">
        <v>0</v>
      </c>
    </row>
    <row r="385" spans="1:9" x14ac:dyDescent="0.35">
      <c r="A385" t="s">
        <v>15</v>
      </c>
      <c r="B385" t="s">
        <v>15</v>
      </c>
      <c r="C385" t="s">
        <v>15</v>
      </c>
      <c r="D385" t="s">
        <v>15</v>
      </c>
    </row>
    <row r="386" spans="1:9" x14ac:dyDescent="0.35">
      <c r="A386" t="s">
        <v>9</v>
      </c>
      <c r="B386" t="s">
        <v>120</v>
      </c>
      <c r="C386" t="s">
        <v>43</v>
      </c>
      <c r="D386" t="s">
        <v>121</v>
      </c>
      <c r="E386">
        <v>384.17599999999999</v>
      </c>
      <c r="F386">
        <v>11.8002</v>
      </c>
      <c r="G386">
        <v>-0.5081</v>
      </c>
      <c r="H386">
        <v>383.85719999999998</v>
      </c>
      <c r="I386">
        <v>0</v>
      </c>
    </row>
    <row r="387" spans="1:9" x14ac:dyDescent="0.35">
      <c r="A387" t="s">
        <v>13</v>
      </c>
      <c r="B387" t="s">
        <v>120</v>
      </c>
      <c r="C387" t="s">
        <v>43</v>
      </c>
      <c r="D387" t="s">
        <v>121</v>
      </c>
      <c r="E387">
        <v>384.23649999999998</v>
      </c>
      <c r="F387">
        <v>11.803900000000001</v>
      </c>
      <c r="G387">
        <v>-0.50800000000000001</v>
      </c>
      <c r="H387">
        <v>383.91739999999999</v>
      </c>
      <c r="I387">
        <v>0</v>
      </c>
    </row>
    <row r="388" spans="1:9" x14ac:dyDescent="0.35">
      <c r="A388" t="s">
        <v>14</v>
      </c>
      <c r="B388" t="s">
        <v>120</v>
      </c>
      <c r="C388" t="s">
        <v>43</v>
      </c>
      <c r="D388" t="s">
        <v>121</v>
      </c>
      <c r="E388">
        <v>384.29700000000003</v>
      </c>
      <c r="F388">
        <v>11.807600000000001</v>
      </c>
      <c r="G388">
        <v>-0.50790000000000002</v>
      </c>
      <c r="H388">
        <v>383.9776</v>
      </c>
      <c r="I388">
        <v>0</v>
      </c>
    </row>
    <row r="389" spans="1:9" x14ac:dyDescent="0.35">
      <c r="A389" t="s">
        <v>15</v>
      </c>
      <c r="B389" t="s">
        <v>15</v>
      </c>
      <c r="C389" t="s">
        <v>15</v>
      </c>
      <c r="D389" t="s">
        <v>15</v>
      </c>
    </row>
    <row r="390" spans="1:9" x14ac:dyDescent="0.35">
      <c r="A390" t="s">
        <v>9</v>
      </c>
      <c r="B390" t="s">
        <v>122</v>
      </c>
      <c r="C390" t="s">
        <v>43</v>
      </c>
      <c r="D390" t="s">
        <v>62</v>
      </c>
      <c r="E390">
        <v>385.21100000000001</v>
      </c>
      <c r="F390">
        <v>11.8636</v>
      </c>
      <c r="G390">
        <v>-0.50660000000000005</v>
      </c>
      <c r="H390">
        <v>384.89030000000002</v>
      </c>
      <c r="I390">
        <v>0</v>
      </c>
    </row>
    <row r="391" spans="1:9" x14ac:dyDescent="0.35">
      <c r="A391" t="s">
        <v>13</v>
      </c>
      <c r="B391" t="s">
        <v>122</v>
      </c>
      <c r="C391" t="s">
        <v>43</v>
      </c>
      <c r="D391" t="s">
        <v>62</v>
      </c>
      <c r="E391">
        <v>385.36349999999999</v>
      </c>
      <c r="F391">
        <v>11.872949999999999</v>
      </c>
      <c r="G391">
        <v>-0.50639999999999996</v>
      </c>
      <c r="H391">
        <v>385.04239999999999</v>
      </c>
      <c r="I391">
        <v>0</v>
      </c>
    </row>
    <row r="392" spans="1:9" x14ac:dyDescent="0.35">
      <c r="A392" t="s">
        <v>14</v>
      </c>
      <c r="B392" t="s">
        <v>122</v>
      </c>
      <c r="C392" t="s">
        <v>43</v>
      </c>
      <c r="D392" t="s">
        <v>62</v>
      </c>
      <c r="E392">
        <v>385.51600000000002</v>
      </c>
      <c r="F392">
        <v>11.882300000000001</v>
      </c>
      <c r="G392">
        <v>-0.50619999999999998</v>
      </c>
      <c r="H392">
        <v>385.19450000000001</v>
      </c>
      <c r="I392">
        <v>0</v>
      </c>
    </row>
    <row r="393" spans="1:9" x14ac:dyDescent="0.35">
      <c r="A393" t="s">
        <v>15</v>
      </c>
      <c r="B393" t="s">
        <v>15</v>
      </c>
      <c r="C393" t="s">
        <v>15</v>
      </c>
      <c r="D393" t="s">
        <v>15</v>
      </c>
    </row>
    <row r="394" spans="1:9" x14ac:dyDescent="0.35">
      <c r="A394" t="s">
        <v>9</v>
      </c>
      <c r="B394" t="s">
        <v>123</v>
      </c>
      <c r="C394" t="s">
        <v>11</v>
      </c>
      <c r="D394" t="s">
        <v>56</v>
      </c>
      <c r="E394">
        <v>385.82100000000003</v>
      </c>
      <c r="F394">
        <v>11.901</v>
      </c>
      <c r="G394">
        <v>-0.50580000000000003</v>
      </c>
      <c r="H394">
        <v>385.49869999999999</v>
      </c>
      <c r="I394">
        <v>0</v>
      </c>
    </row>
    <row r="395" spans="1:9" x14ac:dyDescent="0.35">
      <c r="A395" t="s">
        <v>13</v>
      </c>
      <c r="B395" t="s">
        <v>123</v>
      </c>
      <c r="C395" t="s">
        <v>11</v>
      </c>
      <c r="D395" t="s">
        <v>56</v>
      </c>
      <c r="E395">
        <v>385.82100000000003</v>
      </c>
      <c r="F395">
        <v>11.901</v>
      </c>
      <c r="G395">
        <v>-0.50580000000000003</v>
      </c>
      <c r="H395">
        <v>385.49869999999999</v>
      </c>
      <c r="I395">
        <v>0</v>
      </c>
    </row>
    <row r="396" spans="1:9" x14ac:dyDescent="0.35">
      <c r="A396" t="s">
        <v>14</v>
      </c>
      <c r="B396" t="s">
        <v>123</v>
      </c>
      <c r="C396" t="s">
        <v>11</v>
      </c>
      <c r="D396" t="s">
        <v>56</v>
      </c>
      <c r="E396">
        <v>385.82100000000003</v>
      </c>
      <c r="F396">
        <v>11.901</v>
      </c>
      <c r="G396">
        <v>-0.50580000000000003</v>
      </c>
      <c r="H396">
        <v>385.49869999999999</v>
      </c>
      <c r="I396">
        <v>0</v>
      </c>
    </row>
    <row r="397" spans="1:9" x14ac:dyDescent="0.35">
      <c r="A397" t="s">
        <v>15</v>
      </c>
      <c r="B397" t="s">
        <v>15</v>
      </c>
      <c r="C397" t="s">
        <v>15</v>
      </c>
      <c r="D397" t="s">
        <v>15</v>
      </c>
    </row>
    <row r="398" spans="1:9" x14ac:dyDescent="0.35">
      <c r="A398" t="s">
        <v>9</v>
      </c>
      <c r="B398" t="s">
        <v>124</v>
      </c>
      <c r="C398" t="s">
        <v>66</v>
      </c>
      <c r="D398" t="s">
        <v>67</v>
      </c>
      <c r="E398">
        <v>387.80200000000002</v>
      </c>
      <c r="F398">
        <v>12.022399999999999</v>
      </c>
      <c r="G398">
        <v>-0.503</v>
      </c>
      <c r="H398">
        <v>387.476</v>
      </c>
      <c r="I398">
        <v>0</v>
      </c>
    </row>
    <row r="399" spans="1:9" x14ac:dyDescent="0.35">
      <c r="A399" t="s">
        <v>13</v>
      </c>
      <c r="B399" t="s">
        <v>124</v>
      </c>
      <c r="C399" t="s">
        <v>66</v>
      </c>
      <c r="D399" t="s">
        <v>67</v>
      </c>
      <c r="E399">
        <v>389.32600000000002</v>
      </c>
      <c r="F399">
        <v>12.11585</v>
      </c>
      <c r="G399">
        <v>-0.50085000000000002</v>
      </c>
      <c r="H399">
        <v>388.99714999999998</v>
      </c>
      <c r="I399">
        <v>0</v>
      </c>
    </row>
    <row r="400" spans="1:9" x14ac:dyDescent="0.35">
      <c r="A400" t="s">
        <v>14</v>
      </c>
      <c r="B400" t="s">
        <v>124</v>
      </c>
      <c r="C400" t="s">
        <v>66</v>
      </c>
      <c r="D400" t="s">
        <v>67</v>
      </c>
      <c r="E400">
        <v>390.85</v>
      </c>
      <c r="F400">
        <v>12.209300000000001</v>
      </c>
      <c r="G400">
        <v>-0.49869999999999998</v>
      </c>
      <c r="H400">
        <v>390.51830000000001</v>
      </c>
      <c r="I400">
        <v>0</v>
      </c>
    </row>
    <row r="401" spans="1:9" x14ac:dyDescent="0.35">
      <c r="A401" t="s">
        <v>15</v>
      </c>
      <c r="B401" t="s">
        <v>15</v>
      </c>
      <c r="C401" t="s">
        <v>15</v>
      </c>
      <c r="D401" t="s">
        <v>15</v>
      </c>
    </row>
    <row r="402" spans="1:9" x14ac:dyDescent="0.35">
      <c r="A402" t="s">
        <v>9</v>
      </c>
      <c r="B402" t="s">
        <v>125</v>
      </c>
      <c r="C402" t="s">
        <v>27</v>
      </c>
      <c r="D402" t="s">
        <v>70</v>
      </c>
      <c r="E402">
        <v>391.154</v>
      </c>
      <c r="F402">
        <v>12.2279</v>
      </c>
      <c r="G402">
        <v>-0.49830000000000002</v>
      </c>
      <c r="H402">
        <v>390.82170000000002</v>
      </c>
      <c r="I402">
        <v>0</v>
      </c>
    </row>
    <row r="403" spans="1:9" x14ac:dyDescent="0.35">
      <c r="A403" t="s">
        <v>13</v>
      </c>
      <c r="B403" t="s">
        <v>125</v>
      </c>
      <c r="C403" t="s">
        <v>27</v>
      </c>
      <c r="D403" t="s">
        <v>70</v>
      </c>
      <c r="E403">
        <v>392.678</v>
      </c>
      <c r="F403">
        <v>12.327400000000001</v>
      </c>
      <c r="G403">
        <v>-0.49614999999999998</v>
      </c>
      <c r="H403">
        <v>392.34244999999999</v>
      </c>
      <c r="I403">
        <v>0</v>
      </c>
    </row>
    <row r="404" spans="1:9" x14ac:dyDescent="0.35">
      <c r="A404" t="s">
        <v>14</v>
      </c>
      <c r="B404" t="s">
        <v>125</v>
      </c>
      <c r="C404" t="s">
        <v>27</v>
      </c>
      <c r="D404" t="s">
        <v>70</v>
      </c>
      <c r="E404">
        <v>394.202</v>
      </c>
      <c r="F404">
        <v>12.4269</v>
      </c>
      <c r="G404">
        <v>-0.49399999999999999</v>
      </c>
      <c r="H404">
        <v>393.86320000000001</v>
      </c>
      <c r="I404">
        <v>0</v>
      </c>
    </row>
    <row r="405" spans="1:9" x14ac:dyDescent="0.35">
      <c r="A405" t="s">
        <v>15</v>
      </c>
      <c r="B405" t="s">
        <v>15</v>
      </c>
      <c r="C405" t="s">
        <v>15</v>
      </c>
      <c r="D405" t="s">
        <v>15</v>
      </c>
    </row>
    <row r="406" spans="1:9" x14ac:dyDescent="0.35">
      <c r="A406" t="s">
        <v>9</v>
      </c>
      <c r="B406" t="s">
        <v>126</v>
      </c>
      <c r="C406" t="s">
        <v>66</v>
      </c>
      <c r="D406" t="s">
        <v>67</v>
      </c>
      <c r="E406">
        <v>404.565</v>
      </c>
      <c r="F406">
        <v>13.1447</v>
      </c>
      <c r="G406">
        <v>-0.47949999999999998</v>
      </c>
      <c r="H406">
        <v>404.20089999999999</v>
      </c>
      <c r="I406">
        <v>0</v>
      </c>
    </row>
    <row r="407" spans="1:9" x14ac:dyDescent="0.35">
      <c r="A407" t="s">
        <v>13</v>
      </c>
      <c r="B407" t="s">
        <v>126</v>
      </c>
      <c r="C407" t="s">
        <v>66</v>
      </c>
      <c r="D407" t="s">
        <v>67</v>
      </c>
      <c r="E407">
        <v>406.089</v>
      </c>
      <c r="F407">
        <v>13.250299999999999</v>
      </c>
      <c r="G407">
        <v>-0.47735</v>
      </c>
      <c r="H407">
        <v>405.72125</v>
      </c>
      <c r="I407">
        <v>0</v>
      </c>
    </row>
    <row r="408" spans="1:9" x14ac:dyDescent="0.35">
      <c r="A408" t="s">
        <v>14</v>
      </c>
      <c r="B408" t="s">
        <v>126</v>
      </c>
      <c r="C408" t="s">
        <v>66</v>
      </c>
      <c r="D408" t="s">
        <v>67</v>
      </c>
      <c r="E408">
        <v>407.613</v>
      </c>
      <c r="F408">
        <v>13.3559</v>
      </c>
      <c r="G408">
        <v>-0.47520000000000001</v>
      </c>
      <c r="H408">
        <v>407.24160000000001</v>
      </c>
      <c r="I408">
        <v>0</v>
      </c>
    </row>
    <row r="409" spans="1:9" x14ac:dyDescent="0.35">
      <c r="A409" t="s">
        <v>15</v>
      </c>
      <c r="B409" t="s">
        <v>15</v>
      </c>
      <c r="C409" t="s">
        <v>15</v>
      </c>
      <c r="D409" t="s">
        <v>15</v>
      </c>
    </row>
    <row r="410" spans="1:9" x14ac:dyDescent="0.35">
      <c r="A410" t="s">
        <v>9</v>
      </c>
      <c r="B410" t="s">
        <v>127</v>
      </c>
      <c r="C410" t="s">
        <v>27</v>
      </c>
      <c r="D410" t="s">
        <v>70</v>
      </c>
      <c r="E410">
        <v>408.22199999999998</v>
      </c>
      <c r="F410">
        <v>13.398099999999999</v>
      </c>
      <c r="G410">
        <v>-0.47439999999999999</v>
      </c>
      <c r="H410">
        <v>407.84890000000001</v>
      </c>
      <c r="I410">
        <v>0</v>
      </c>
    </row>
    <row r="411" spans="1:9" x14ac:dyDescent="0.35">
      <c r="A411" t="s">
        <v>13</v>
      </c>
      <c r="B411" t="s">
        <v>127</v>
      </c>
      <c r="C411" t="s">
        <v>27</v>
      </c>
      <c r="D411" t="s">
        <v>70</v>
      </c>
      <c r="E411">
        <v>409.74599999999998</v>
      </c>
      <c r="F411">
        <v>13.50975</v>
      </c>
      <c r="G411">
        <v>-0.47225</v>
      </c>
      <c r="H411">
        <v>409.36880000000002</v>
      </c>
      <c r="I411">
        <v>0</v>
      </c>
    </row>
    <row r="412" spans="1:9" x14ac:dyDescent="0.35">
      <c r="A412" t="s">
        <v>14</v>
      </c>
      <c r="B412" t="s">
        <v>127</v>
      </c>
      <c r="C412" t="s">
        <v>27</v>
      </c>
      <c r="D412" t="s">
        <v>70</v>
      </c>
      <c r="E412">
        <v>411.27</v>
      </c>
      <c r="F412">
        <v>13.6214</v>
      </c>
      <c r="G412">
        <v>-0.47010000000000002</v>
      </c>
      <c r="H412">
        <v>410.88869999999997</v>
      </c>
      <c r="I412">
        <v>0</v>
      </c>
    </row>
    <row r="413" spans="1:9" x14ac:dyDescent="0.35">
      <c r="A413" t="s">
        <v>15</v>
      </c>
      <c r="B413" t="s">
        <v>15</v>
      </c>
      <c r="C413" t="s">
        <v>15</v>
      </c>
      <c r="D413" t="s">
        <v>15</v>
      </c>
    </row>
    <row r="414" spans="1:9" x14ac:dyDescent="0.35">
      <c r="A414" t="s">
        <v>9</v>
      </c>
      <c r="B414" t="s">
        <v>128</v>
      </c>
      <c r="C414" t="s">
        <v>66</v>
      </c>
      <c r="D414" t="s">
        <v>67</v>
      </c>
      <c r="E414">
        <v>411.92899999999997</v>
      </c>
      <c r="F414">
        <v>13.6723</v>
      </c>
      <c r="G414">
        <v>-0.46910000000000002</v>
      </c>
      <c r="H414">
        <v>411.54640000000001</v>
      </c>
      <c r="I414">
        <v>0</v>
      </c>
    </row>
    <row r="415" spans="1:9" x14ac:dyDescent="0.35">
      <c r="A415" t="s">
        <v>13</v>
      </c>
      <c r="B415" t="s">
        <v>128</v>
      </c>
      <c r="C415" t="s">
        <v>66</v>
      </c>
      <c r="D415" t="s">
        <v>67</v>
      </c>
      <c r="E415">
        <v>413.45299999999997</v>
      </c>
      <c r="F415">
        <v>13.790050000000001</v>
      </c>
      <c r="G415">
        <v>-0.46700000000000003</v>
      </c>
      <c r="H415">
        <v>413.06580000000002</v>
      </c>
      <c r="I415">
        <v>0</v>
      </c>
    </row>
    <row r="416" spans="1:9" x14ac:dyDescent="0.35">
      <c r="A416" t="s">
        <v>14</v>
      </c>
      <c r="B416" t="s">
        <v>128</v>
      </c>
      <c r="C416" t="s">
        <v>66</v>
      </c>
      <c r="D416" t="s">
        <v>67</v>
      </c>
      <c r="E416">
        <v>414.97699999999998</v>
      </c>
      <c r="F416">
        <v>13.9078</v>
      </c>
      <c r="G416">
        <v>-0.46489999999999998</v>
      </c>
      <c r="H416">
        <v>414.58519999999999</v>
      </c>
      <c r="I416">
        <v>0</v>
      </c>
    </row>
    <row r="417" spans="1:9" x14ac:dyDescent="0.35">
      <c r="A417" t="s">
        <v>15</v>
      </c>
      <c r="B417" t="s">
        <v>15</v>
      </c>
      <c r="C417" t="s">
        <v>15</v>
      </c>
      <c r="D417" t="s">
        <v>15</v>
      </c>
    </row>
    <row r="418" spans="1:9" x14ac:dyDescent="0.35">
      <c r="A418" t="s">
        <v>9</v>
      </c>
      <c r="B418" t="s">
        <v>129</v>
      </c>
      <c r="C418" t="s">
        <v>100</v>
      </c>
      <c r="D418" t="s">
        <v>77</v>
      </c>
      <c r="E418">
        <v>417.44</v>
      </c>
      <c r="F418">
        <v>14.098100000000001</v>
      </c>
      <c r="G418">
        <v>-0.46139999999999998</v>
      </c>
      <c r="H418">
        <v>417.04109999999997</v>
      </c>
      <c r="I418">
        <v>0</v>
      </c>
    </row>
    <row r="419" spans="1:9" x14ac:dyDescent="0.35">
      <c r="A419" t="s">
        <v>13</v>
      </c>
      <c r="B419" t="s">
        <v>129</v>
      </c>
      <c r="C419" t="s">
        <v>100</v>
      </c>
      <c r="D419" t="s">
        <v>77</v>
      </c>
      <c r="E419">
        <v>417.82100000000003</v>
      </c>
      <c r="F419">
        <v>14.127549999999999</v>
      </c>
      <c r="G419">
        <v>-0.46084999999999998</v>
      </c>
      <c r="H419">
        <v>417.42095</v>
      </c>
      <c r="I419">
        <v>0</v>
      </c>
    </row>
    <row r="420" spans="1:9" x14ac:dyDescent="0.35">
      <c r="A420" t="s">
        <v>14</v>
      </c>
      <c r="B420" t="s">
        <v>129</v>
      </c>
      <c r="C420" t="s">
        <v>100</v>
      </c>
      <c r="D420" t="s">
        <v>77</v>
      </c>
      <c r="E420">
        <v>418.202</v>
      </c>
      <c r="F420">
        <v>14.157</v>
      </c>
      <c r="G420">
        <v>-0.46029999999999999</v>
      </c>
      <c r="H420">
        <v>417.80079999999998</v>
      </c>
      <c r="I420">
        <v>0</v>
      </c>
    </row>
    <row r="421" spans="1:9" x14ac:dyDescent="0.35">
      <c r="A421" t="s">
        <v>15</v>
      </c>
      <c r="B421" t="s">
        <v>15</v>
      </c>
      <c r="C421" t="s">
        <v>15</v>
      </c>
      <c r="D421" t="s">
        <v>15</v>
      </c>
    </row>
    <row r="422" spans="1:9" x14ac:dyDescent="0.35">
      <c r="A422" t="s">
        <v>9</v>
      </c>
      <c r="B422" t="s">
        <v>130</v>
      </c>
      <c r="C422" t="s">
        <v>11</v>
      </c>
      <c r="D422" t="s">
        <v>24</v>
      </c>
      <c r="E422">
        <v>421.673</v>
      </c>
      <c r="F422">
        <v>14.4251</v>
      </c>
      <c r="G422">
        <v>-0.45550000000000002</v>
      </c>
      <c r="H422">
        <v>421.2611</v>
      </c>
      <c r="I422">
        <v>0</v>
      </c>
    </row>
    <row r="423" spans="1:9" x14ac:dyDescent="0.35">
      <c r="A423" t="s">
        <v>13</v>
      </c>
      <c r="B423" t="s">
        <v>130</v>
      </c>
      <c r="C423" t="s">
        <v>11</v>
      </c>
      <c r="D423" t="s">
        <v>24</v>
      </c>
      <c r="E423">
        <v>421.673</v>
      </c>
      <c r="F423">
        <v>14.4251</v>
      </c>
      <c r="G423">
        <v>-0.45550000000000002</v>
      </c>
      <c r="H423">
        <v>421.2611</v>
      </c>
      <c r="I423">
        <v>0</v>
      </c>
    </row>
    <row r="424" spans="1:9" x14ac:dyDescent="0.35">
      <c r="A424" t="s">
        <v>14</v>
      </c>
      <c r="B424" t="s">
        <v>130</v>
      </c>
      <c r="C424" t="s">
        <v>11</v>
      </c>
      <c r="D424" t="s">
        <v>24</v>
      </c>
      <c r="E424">
        <v>421.673</v>
      </c>
      <c r="F424">
        <v>14.4251</v>
      </c>
      <c r="G424">
        <v>-0.45550000000000002</v>
      </c>
      <c r="H424">
        <v>421.2611</v>
      </c>
      <c r="I424">
        <v>0</v>
      </c>
    </row>
    <row r="425" spans="1:9" x14ac:dyDescent="0.35">
      <c r="A425" t="s">
        <v>15</v>
      </c>
      <c r="B425" t="s">
        <v>15</v>
      </c>
      <c r="C425" t="s">
        <v>15</v>
      </c>
      <c r="D425" t="s">
        <v>15</v>
      </c>
    </row>
    <row r="426" spans="1:9" x14ac:dyDescent="0.35">
      <c r="A426" t="s">
        <v>9</v>
      </c>
      <c r="B426" t="s">
        <v>131</v>
      </c>
      <c r="C426" t="s">
        <v>11</v>
      </c>
      <c r="D426" t="s">
        <v>62</v>
      </c>
      <c r="E426">
        <v>421.86200000000002</v>
      </c>
      <c r="F426">
        <v>14.4397</v>
      </c>
      <c r="G426">
        <v>-0.45519999999999999</v>
      </c>
      <c r="H426">
        <v>421.44929999999999</v>
      </c>
      <c r="I426">
        <v>0</v>
      </c>
    </row>
    <row r="427" spans="1:9" x14ac:dyDescent="0.35">
      <c r="A427" t="s">
        <v>13</v>
      </c>
      <c r="B427" t="s">
        <v>131</v>
      </c>
      <c r="C427" t="s">
        <v>11</v>
      </c>
      <c r="D427" t="s">
        <v>62</v>
      </c>
      <c r="E427">
        <v>421.86200000000002</v>
      </c>
      <c r="F427">
        <v>14.4397</v>
      </c>
      <c r="G427">
        <v>-0.45519999999999999</v>
      </c>
      <c r="H427">
        <v>421.44929999999999</v>
      </c>
      <c r="I427">
        <v>0</v>
      </c>
    </row>
    <row r="428" spans="1:9" x14ac:dyDescent="0.35">
      <c r="A428" t="s">
        <v>14</v>
      </c>
      <c r="B428" t="s">
        <v>131</v>
      </c>
      <c r="C428" t="s">
        <v>11</v>
      </c>
      <c r="D428" t="s">
        <v>62</v>
      </c>
      <c r="E428">
        <v>421.86200000000002</v>
      </c>
      <c r="F428">
        <v>14.4397</v>
      </c>
      <c r="G428">
        <v>-0.45519999999999999</v>
      </c>
      <c r="H428">
        <v>421.44929999999999</v>
      </c>
      <c r="I428">
        <v>0</v>
      </c>
    </row>
    <row r="429" spans="1:9" x14ac:dyDescent="0.35">
      <c r="A429" t="s">
        <v>15</v>
      </c>
      <c r="B429" t="s">
        <v>15</v>
      </c>
      <c r="C429" t="s">
        <v>15</v>
      </c>
      <c r="D429" t="s">
        <v>15</v>
      </c>
    </row>
    <row r="430" spans="1:9" x14ac:dyDescent="0.35">
      <c r="A430" t="s">
        <v>9</v>
      </c>
      <c r="B430" t="s">
        <v>132</v>
      </c>
      <c r="C430" t="s">
        <v>11</v>
      </c>
      <c r="D430" t="s">
        <v>35</v>
      </c>
      <c r="E430">
        <v>427.88200000000001</v>
      </c>
      <c r="F430">
        <v>14.9047</v>
      </c>
      <c r="G430">
        <v>-0.44669999999999999</v>
      </c>
      <c r="H430">
        <v>427.4511</v>
      </c>
      <c r="I430">
        <v>0</v>
      </c>
    </row>
    <row r="431" spans="1:9" x14ac:dyDescent="0.35">
      <c r="A431" t="s">
        <v>13</v>
      </c>
      <c r="B431" t="s">
        <v>132</v>
      </c>
      <c r="C431" t="s">
        <v>11</v>
      </c>
      <c r="D431" t="s">
        <v>35</v>
      </c>
      <c r="E431">
        <v>427.88200000000001</v>
      </c>
      <c r="F431">
        <v>14.9047</v>
      </c>
      <c r="G431">
        <v>-0.44669999999999999</v>
      </c>
      <c r="H431">
        <v>427.4511</v>
      </c>
      <c r="I431">
        <v>0</v>
      </c>
    </row>
    <row r="432" spans="1:9" x14ac:dyDescent="0.35">
      <c r="A432" t="s">
        <v>14</v>
      </c>
      <c r="B432" t="s">
        <v>132</v>
      </c>
      <c r="C432" t="s">
        <v>11</v>
      </c>
      <c r="D432" t="s">
        <v>35</v>
      </c>
      <c r="E432">
        <v>427.88200000000001</v>
      </c>
      <c r="F432">
        <v>14.9047</v>
      </c>
      <c r="G432">
        <v>-0.44669999999999999</v>
      </c>
      <c r="H432">
        <v>427.4511</v>
      </c>
      <c r="I432">
        <v>0</v>
      </c>
    </row>
    <row r="433" spans="1:9" x14ac:dyDescent="0.35">
      <c r="A433" t="s">
        <v>15</v>
      </c>
      <c r="B433" t="s">
        <v>15</v>
      </c>
      <c r="C433" t="s">
        <v>15</v>
      </c>
      <c r="D433" t="s">
        <v>15</v>
      </c>
    </row>
    <row r="434" spans="1:9" x14ac:dyDescent="0.35">
      <c r="A434" t="s">
        <v>9</v>
      </c>
      <c r="B434" t="s">
        <v>133</v>
      </c>
      <c r="C434" t="s">
        <v>11</v>
      </c>
      <c r="D434" t="s">
        <v>19</v>
      </c>
      <c r="E434">
        <v>427.88200000000001</v>
      </c>
      <c r="F434">
        <v>14.9047</v>
      </c>
      <c r="G434">
        <v>-0.44669999999999999</v>
      </c>
      <c r="H434">
        <v>427.4511</v>
      </c>
      <c r="I434">
        <v>0</v>
      </c>
    </row>
    <row r="435" spans="1:9" x14ac:dyDescent="0.35">
      <c r="A435" t="s">
        <v>13</v>
      </c>
      <c r="B435" t="s">
        <v>133</v>
      </c>
      <c r="C435" t="s">
        <v>11</v>
      </c>
      <c r="D435" t="s">
        <v>19</v>
      </c>
      <c r="E435">
        <v>427.88200000000001</v>
      </c>
      <c r="F435">
        <v>14.9047</v>
      </c>
      <c r="G435">
        <v>-0.44669999999999999</v>
      </c>
      <c r="H435">
        <v>427.4511</v>
      </c>
      <c r="I435">
        <v>0</v>
      </c>
    </row>
    <row r="436" spans="1:9" x14ac:dyDescent="0.35">
      <c r="A436" t="s">
        <v>14</v>
      </c>
      <c r="B436" t="s">
        <v>133</v>
      </c>
      <c r="C436" t="s">
        <v>11</v>
      </c>
      <c r="D436" t="s">
        <v>19</v>
      </c>
      <c r="E436">
        <v>427.88200000000001</v>
      </c>
      <c r="F436">
        <v>14.9047</v>
      </c>
      <c r="G436">
        <v>-0.44669999999999999</v>
      </c>
      <c r="H436">
        <v>427.4511</v>
      </c>
      <c r="I436">
        <v>0</v>
      </c>
    </row>
    <row r="437" spans="1:9" x14ac:dyDescent="0.35">
      <c r="A437" t="s">
        <v>15</v>
      </c>
      <c r="B437" t="s">
        <v>15</v>
      </c>
      <c r="C437" t="s">
        <v>15</v>
      </c>
      <c r="D437" t="s">
        <v>15</v>
      </c>
    </row>
    <row r="438" spans="1:9" x14ac:dyDescent="0.35">
      <c r="A438" t="s">
        <v>9</v>
      </c>
      <c r="B438" t="s">
        <v>134</v>
      </c>
      <c r="C438" t="s">
        <v>11</v>
      </c>
      <c r="D438" t="s">
        <v>19</v>
      </c>
      <c r="E438">
        <v>427.88200000000001</v>
      </c>
      <c r="F438">
        <v>14.9047</v>
      </c>
      <c r="G438">
        <v>-0.44669999999999999</v>
      </c>
      <c r="H438">
        <v>427.4511</v>
      </c>
      <c r="I438">
        <v>0</v>
      </c>
    </row>
    <row r="439" spans="1:9" x14ac:dyDescent="0.35">
      <c r="A439" t="s">
        <v>13</v>
      </c>
      <c r="B439" t="s">
        <v>134</v>
      </c>
      <c r="C439" t="s">
        <v>11</v>
      </c>
      <c r="D439" t="s">
        <v>19</v>
      </c>
      <c r="E439">
        <v>427.88200000000001</v>
      </c>
      <c r="F439">
        <v>14.9047</v>
      </c>
      <c r="G439">
        <v>-0.44669999999999999</v>
      </c>
      <c r="H439">
        <v>427.4511</v>
      </c>
      <c r="I439">
        <v>0</v>
      </c>
    </row>
    <row r="440" spans="1:9" x14ac:dyDescent="0.35">
      <c r="A440" t="s">
        <v>14</v>
      </c>
      <c r="B440" t="s">
        <v>134</v>
      </c>
      <c r="C440" t="s">
        <v>11</v>
      </c>
      <c r="D440" t="s">
        <v>19</v>
      </c>
      <c r="E440">
        <v>427.88200000000001</v>
      </c>
      <c r="F440">
        <v>14.9047</v>
      </c>
      <c r="G440">
        <v>-0.44669999999999999</v>
      </c>
      <c r="H440">
        <v>427.4511</v>
      </c>
      <c r="I440">
        <v>0</v>
      </c>
    </row>
    <row r="441" spans="1:9" x14ac:dyDescent="0.35">
      <c r="A441" t="s">
        <v>15</v>
      </c>
      <c r="B441" t="s">
        <v>15</v>
      </c>
      <c r="C441" t="s">
        <v>15</v>
      </c>
      <c r="D441" t="s">
        <v>15</v>
      </c>
    </row>
    <row r="442" spans="1:9" x14ac:dyDescent="0.35">
      <c r="A442" t="s">
        <v>9</v>
      </c>
      <c r="B442" t="s">
        <v>135</v>
      </c>
      <c r="C442" t="s">
        <v>136</v>
      </c>
      <c r="D442" t="s">
        <v>77</v>
      </c>
      <c r="E442">
        <v>427.94600000000003</v>
      </c>
      <c r="F442">
        <v>14.909700000000001</v>
      </c>
      <c r="G442">
        <v>-0.44669999999999999</v>
      </c>
      <c r="H442">
        <v>427.51499999999999</v>
      </c>
      <c r="I442">
        <v>0</v>
      </c>
    </row>
    <row r="443" spans="1:9" x14ac:dyDescent="0.35">
      <c r="A443" t="s">
        <v>13</v>
      </c>
      <c r="B443" t="s">
        <v>135</v>
      </c>
      <c r="C443" t="s">
        <v>136</v>
      </c>
      <c r="D443" t="s">
        <v>77</v>
      </c>
      <c r="E443">
        <v>428.327</v>
      </c>
      <c r="F443">
        <v>14.9391</v>
      </c>
      <c r="G443">
        <v>-0.44614999999999999</v>
      </c>
      <c r="H443">
        <v>427.89485000000002</v>
      </c>
      <c r="I443">
        <v>0</v>
      </c>
    </row>
    <row r="444" spans="1:9" x14ac:dyDescent="0.35">
      <c r="A444" t="s">
        <v>14</v>
      </c>
      <c r="B444" t="s">
        <v>135</v>
      </c>
      <c r="C444" t="s">
        <v>136</v>
      </c>
      <c r="D444" t="s">
        <v>77</v>
      </c>
      <c r="E444">
        <v>428.70800000000003</v>
      </c>
      <c r="F444">
        <v>14.968500000000001</v>
      </c>
      <c r="G444">
        <v>-0.4456</v>
      </c>
      <c r="H444">
        <v>428.2747</v>
      </c>
      <c r="I444">
        <v>0</v>
      </c>
    </row>
    <row r="445" spans="1:9" x14ac:dyDescent="0.35">
      <c r="A445" t="s">
        <v>15</v>
      </c>
      <c r="B445" t="s">
        <v>15</v>
      </c>
      <c r="C445" t="s">
        <v>15</v>
      </c>
      <c r="D445" t="s">
        <v>15</v>
      </c>
    </row>
    <row r="446" spans="1:9" x14ac:dyDescent="0.35">
      <c r="A446" t="s">
        <v>9</v>
      </c>
      <c r="B446" t="s">
        <v>137</v>
      </c>
      <c r="C446" t="s">
        <v>66</v>
      </c>
      <c r="D446" t="s">
        <v>67</v>
      </c>
      <c r="E446">
        <v>429.62200000000001</v>
      </c>
      <c r="F446">
        <v>15.039099999999999</v>
      </c>
      <c r="G446">
        <v>-0.44429999999999997</v>
      </c>
      <c r="H446">
        <v>429.18599999999998</v>
      </c>
      <c r="I446">
        <v>0</v>
      </c>
    </row>
    <row r="447" spans="1:9" x14ac:dyDescent="0.35">
      <c r="A447" t="s">
        <v>13</v>
      </c>
      <c r="B447" t="s">
        <v>137</v>
      </c>
      <c r="C447" t="s">
        <v>66</v>
      </c>
      <c r="D447" t="s">
        <v>67</v>
      </c>
      <c r="E447">
        <v>431.14600000000002</v>
      </c>
      <c r="F447">
        <v>15.15685</v>
      </c>
      <c r="G447">
        <v>-0.44214999999999999</v>
      </c>
      <c r="H447">
        <v>430.70544999999998</v>
      </c>
      <c r="I447">
        <v>0</v>
      </c>
    </row>
    <row r="448" spans="1:9" x14ac:dyDescent="0.35">
      <c r="A448" t="s">
        <v>14</v>
      </c>
      <c r="B448" t="s">
        <v>137</v>
      </c>
      <c r="C448" t="s">
        <v>66</v>
      </c>
      <c r="D448" t="s">
        <v>67</v>
      </c>
      <c r="E448">
        <v>432.67</v>
      </c>
      <c r="F448">
        <v>15.2746</v>
      </c>
      <c r="G448">
        <v>-0.44</v>
      </c>
      <c r="H448">
        <v>432.22489999999999</v>
      </c>
      <c r="I448">
        <v>0</v>
      </c>
    </row>
    <row r="449" spans="1:9" x14ac:dyDescent="0.35">
      <c r="A449" t="s">
        <v>15</v>
      </c>
      <c r="B449" t="s">
        <v>15</v>
      </c>
      <c r="C449" t="s">
        <v>15</v>
      </c>
      <c r="D449" t="s">
        <v>15</v>
      </c>
    </row>
    <row r="450" spans="1:9" x14ac:dyDescent="0.35">
      <c r="A450" t="s">
        <v>9</v>
      </c>
      <c r="B450" t="s">
        <v>138</v>
      </c>
      <c r="C450" t="s">
        <v>66</v>
      </c>
      <c r="D450" t="s">
        <v>67</v>
      </c>
      <c r="E450">
        <v>435.83199999999999</v>
      </c>
      <c r="F450">
        <v>15.5189</v>
      </c>
      <c r="G450">
        <v>-0.43559999999999999</v>
      </c>
      <c r="H450">
        <v>435.3777</v>
      </c>
      <c r="I450">
        <v>0</v>
      </c>
    </row>
    <row r="451" spans="1:9" x14ac:dyDescent="0.35">
      <c r="A451" t="s">
        <v>13</v>
      </c>
      <c r="B451" t="s">
        <v>138</v>
      </c>
      <c r="C451" t="s">
        <v>66</v>
      </c>
      <c r="D451" t="s">
        <v>67</v>
      </c>
      <c r="E451">
        <v>437.35599999999999</v>
      </c>
      <c r="F451">
        <v>15.636649999999999</v>
      </c>
      <c r="G451">
        <v>-0.43345</v>
      </c>
      <c r="H451">
        <v>436.89715000000001</v>
      </c>
      <c r="I451">
        <v>0</v>
      </c>
    </row>
    <row r="452" spans="1:9" x14ac:dyDescent="0.35">
      <c r="A452" t="s">
        <v>14</v>
      </c>
      <c r="B452" t="s">
        <v>138</v>
      </c>
      <c r="C452" t="s">
        <v>66</v>
      </c>
      <c r="D452" t="s">
        <v>67</v>
      </c>
      <c r="E452">
        <v>438.88</v>
      </c>
      <c r="F452">
        <v>15.7544</v>
      </c>
      <c r="G452">
        <v>-0.43130000000000002</v>
      </c>
      <c r="H452">
        <v>438.41660000000002</v>
      </c>
      <c r="I452">
        <v>0</v>
      </c>
    </row>
    <row r="453" spans="1:9" x14ac:dyDescent="0.35">
      <c r="A453" t="s">
        <v>15</v>
      </c>
      <c r="B453" t="s">
        <v>15</v>
      </c>
      <c r="C453" t="s">
        <v>15</v>
      </c>
      <c r="D453" t="s">
        <v>15</v>
      </c>
    </row>
    <row r="454" spans="1:9" x14ac:dyDescent="0.35">
      <c r="A454" t="s">
        <v>9</v>
      </c>
      <c r="B454" t="s">
        <v>139</v>
      </c>
      <c r="C454" t="s">
        <v>66</v>
      </c>
      <c r="D454" t="s">
        <v>67</v>
      </c>
      <c r="E454">
        <v>442.58800000000002</v>
      </c>
      <c r="F454">
        <v>16.040900000000001</v>
      </c>
      <c r="G454">
        <v>-0.42609999999999998</v>
      </c>
      <c r="H454">
        <v>442.1139</v>
      </c>
      <c r="I454">
        <v>0</v>
      </c>
    </row>
    <row r="455" spans="1:9" x14ac:dyDescent="0.35">
      <c r="A455" t="s">
        <v>13</v>
      </c>
      <c r="B455" t="s">
        <v>139</v>
      </c>
      <c r="C455" t="s">
        <v>66</v>
      </c>
      <c r="D455" t="s">
        <v>67</v>
      </c>
      <c r="E455">
        <v>444.11200000000002</v>
      </c>
      <c r="F455">
        <v>16.1586</v>
      </c>
      <c r="G455">
        <v>-0.42394999999999999</v>
      </c>
      <c r="H455">
        <v>443.63330000000002</v>
      </c>
      <c r="I455">
        <v>0</v>
      </c>
    </row>
    <row r="456" spans="1:9" x14ac:dyDescent="0.35">
      <c r="A456" t="s">
        <v>14</v>
      </c>
      <c r="B456" t="s">
        <v>139</v>
      </c>
      <c r="C456" t="s">
        <v>66</v>
      </c>
      <c r="D456" t="s">
        <v>67</v>
      </c>
      <c r="E456">
        <v>445.63600000000002</v>
      </c>
      <c r="F456">
        <v>16.276299999999999</v>
      </c>
      <c r="G456">
        <v>-0.42180000000000001</v>
      </c>
      <c r="H456">
        <v>445.15269999999998</v>
      </c>
      <c r="I456">
        <v>0</v>
      </c>
    </row>
    <row r="457" spans="1:9" x14ac:dyDescent="0.35">
      <c r="A457" t="s">
        <v>15</v>
      </c>
      <c r="B457" t="s">
        <v>15</v>
      </c>
      <c r="C457" t="s">
        <v>15</v>
      </c>
      <c r="D457" t="s">
        <v>15</v>
      </c>
    </row>
    <row r="458" spans="1:9" x14ac:dyDescent="0.35">
      <c r="A458" t="s">
        <v>9</v>
      </c>
      <c r="B458" t="s">
        <v>140</v>
      </c>
      <c r="C458" t="s">
        <v>11</v>
      </c>
      <c r="D458" t="s">
        <v>24</v>
      </c>
      <c r="E458">
        <v>446.017</v>
      </c>
      <c r="F458">
        <v>16.305800000000001</v>
      </c>
      <c r="G458">
        <v>-0.42130000000000001</v>
      </c>
      <c r="H458">
        <v>445.5326</v>
      </c>
      <c r="I458">
        <v>0</v>
      </c>
    </row>
    <row r="459" spans="1:9" x14ac:dyDescent="0.35">
      <c r="A459" t="s">
        <v>13</v>
      </c>
      <c r="B459" t="s">
        <v>140</v>
      </c>
      <c r="C459" t="s">
        <v>11</v>
      </c>
      <c r="D459" t="s">
        <v>24</v>
      </c>
      <c r="E459">
        <v>446.017</v>
      </c>
      <c r="F459">
        <v>16.305800000000001</v>
      </c>
      <c r="G459">
        <v>-0.42130000000000001</v>
      </c>
      <c r="H459">
        <v>445.5326</v>
      </c>
      <c r="I459">
        <v>0</v>
      </c>
    </row>
    <row r="460" spans="1:9" x14ac:dyDescent="0.35">
      <c r="A460" t="s">
        <v>14</v>
      </c>
      <c r="B460" t="s">
        <v>140</v>
      </c>
      <c r="C460" t="s">
        <v>11</v>
      </c>
      <c r="D460" t="s">
        <v>24</v>
      </c>
      <c r="E460">
        <v>446.017</v>
      </c>
      <c r="F460">
        <v>16.305800000000001</v>
      </c>
      <c r="G460">
        <v>-0.42130000000000001</v>
      </c>
      <c r="H460">
        <v>445.5326</v>
      </c>
      <c r="I460">
        <v>0</v>
      </c>
    </row>
    <row r="461" spans="1:9" x14ac:dyDescent="0.35">
      <c r="A461" t="s">
        <v>15</v>
      </c>
      <c r="B461" t="s">
        <v>15</v>
      </c>
      <c r="C461" t="s">
        <v>15</v>
      </c>
      <c r="D461" t="s">
        <v>15</v>
      </c>
    </row>
    <row r="462" spans="1:9" x14ac:dyDescent="0.35">
      <c r="A462" t="s">
        <v>9</v>
      </c>
      <c r="B462" t="s">
        <v>55</v>
      </c>
      <c r="C462" t="s">
        <v>11</v>
      </c>
      <c r="D462" t="s">
        <v>56</v>
      </c>
      <c r="E462">
        <v>446.85599999999999</v>
      </c>
      <c r="F462">
        <v>16.3705</v>
      </c>
      <c r="G462">
        <v>-0.42009999999999997</v>
      </c>
      <c r="H462">
        <v>446.36829999999998</v>
      </c>
      <c r="I462">
        <v>0</v>
      </c>
    </row>
    <row r="463" spans="1:9" x14ac:dyDescent="0.35">
      <c r="A463" t="s">
        <v>13</v>
      </c>
      <c r="B463" t="s">
        <v>55</v>
      </c>
      <c r="C463" t="s">
        <v>11</v>
      </c>
      <c r="D463" t="s">
        <v>56</v>
      </c>
      <c r="E463">
        <v>446.85599999999999</v>
      </c>
      <c r="F463">
        <v>16.3705</v>
      </c>
      <c r="G463">
        <v>-0.42009999999999997</v>
      </c>
      <c r="H463">
        <v>446.36829999999998</v>
      </c>
      <c r="I463">
        <v>0</v>
      </c>
    </row>
    <row r="464" spans="1:9" x14ac:dyDescent="0.35">
      <c r="A464" t="s">
        <v>14</v>
      </c>
      <c r="B464" t="s">
        <v>55</v>
      </c>
      <c r="C464" t="s">
        <v>11</v>
      </c>
      <c r="D464" t="s">
        <v>56</v>
      </c>
      <c r="E464">
        <v>446.85599999999999</v>
      </c>
      <c r="F464">
        <v>16.3705</v>
      </c>
      <c r="G464">
        <v>-0.42009999999999997</v>
      </c>
      <c r="H464">
        <v>446.36829999999998</v>
      </c>
      <c r="I464">
        <v>0</v>
      </c>
    </row>
    <row r="465" spans="1:9" x14ac:dyDescent="0.35">
      <c r="A465" t="s">
        <v>15</v>
      </c>
      <c r="B465" t="s">
        <v>15</v>
      </c>
      <c r="C465" t="s">
        <v>15</v>
      </c>
      <c r="D465" t="s">
        <v>15</v>
      </c>
    </row>
    <row r="466" spans="1:9" x14ac:dyDescent="0.35">
      <c r="A466" t="s">
        <v>9</v>
      </c>
      <c r="B466" t="s">
        <v>141</v>
      </c>
      <c r="C466" t="s">
        <v>43</v>
      </c>
      <c r="D466" t="s">
        <v>142</v>
      </c>
      <c r="E466">
        <v>447.31900000000002</v>
      </c>
      <c r="F466">
        <v>16.406300000000002</v>
      </c>
      <c r="G466">
        <v>-0.41949999999999998</v>
      </c>
      <c r="H466">
        <v>446.8304</v>
      </c>
      <c r="I466">
        <v>0</v>
      </c>
    </row>
    <row r="467" spans="1:9" x14ac:dyDescent="0.35">
      <c r="A467" t="s">
        <v>13</v>
      </c>
      <c r="B467" t="s">
        <v>141</v>
      </c>
      <c r="C467" t="s">
        <v>43</v>
      </c>
      <c r="D467" t="s">
        <v>142</v>
      </c>
      <c r="E467">
        <v>447.37</v>
      </c>
      <c r="F467">
        <v>16.410250000000001</v>
      </c>
      <c r="G467">
        <v>-0.4194</v>
      </c>
      <c r="H467">
        <v>446.88105000000002</v>
      </c>
      <c r="I467">
        <v>0</v>
      </c>
    </row>
    <row r="468" spans="1:9" x14ac:dyDescent="0.35">
      <c r="A468" t="s">
        <v>14</v>
      </c>
      <c r="B468" t="s">
        <v>141</v>
      </c>
      <c r="C468" t="s">
        <v>43</v>
      </c>
      <c r="D468" t="s">
        <v>142</v>
      </c>
      <c r="E468">
        <v>447.42099999999999</v>
      </c>
      <c r="F468">
        <v>16.414200000000001</v>
      </c>
      <c r="G468">
        <v>-0.41930000000000001</v>
      </c>
      <c r="H468">
        <v>446.93169999999998</v>
      </c>
      <c r="I468">
        <v>0</v>
      </c>
    </row>
    <row r="469" spans="1:9" x14ac:dyDescent="0.35">
      <c r="A469" t="s">
        <v>15</v>
      </c>
      <c r="B469" t="s">
        <v>15</v>
      </c>
      <c r="C469" t="s">
        <v>15</v>
      </c>
      <c r="D469" t="s">
        <v>15</v>
      </c>
    </row>
    <row r="470" spans="1:9" x14ac:dyDescent="0.35">
      <c r="A470" t="s">
        <v>9</v>
      </c>
      <c r="B470" t="s">
        <v>55</v>
      </c>
      <c r="C470" t="s">
        <v>11</v>
      </c>
      <c r="D470" t="s">
        <v>56</v>
      </c>
      <c r="E470">
        <v>447.97899999999998</v>
      </c>
      <c r="F470">
        <v>16.4573</v>
      </c>
      <c r="G470">
        <v>-0.41849999999999998</v>
      </c>
      <c r="H470">
        <v>447.48880000000003</v>
      </c>
      <c r="I470">
        <v>0</v>
      </c>
    </row>
    <row r="471" spans="1:9" x14ac:dyDescent="0.35">
      <c r="A471" t="s">
        <v>13</v>
      </c>
      <c r="B471" t="s">
        <v>55</v>
      </c>
      <c r="C471" t="s">
        <v>11</v>
      </c>
      <c r="D471" t="s">
        <v>56</v>
      </c>
      <c r="E471">
        <v>447.97899999999998</v>
      </c>
      <c r="F471">
        <v>16.4573</v>
      </c>
      <c r="G471">
        <v>-0.41849999999999998</v>
      </c>
      <c r="H471">
        <v>447.48880000000003</v>
      </c>
      <c r="I471">
        <v>0</v>
      </c>
    </row>
    <row r="472" spans="1:9" x14ac:dyDescent="0.35">
      <c r="A472" t="s">
        <v>14</v>
      </c>
      <c r="B472" t="s">
        <v>55</v>
      </c>
      <c r="C472" t="s">
        <v>11</v>
      </c>
      <c r="D472" t="s">
        <v>56</v>
      </c>
      <c r="E472">
        <v>447.97899999999998</v>
      </c>
      <c r="F472">
        <v>16.4573</v>
      </c>
      <c r="G472">
        <v>-0.41849999999999998</v>
      </c>
      <c r="H472">
        <v>447.48880000000003</v>
      </c>
      <c r="I472">
        <v>0</v>
      </c>
    </row>
    <row r="473" spans="1:9" x14ac:dyDescent="0.35">
      <c r="A473" t="s">
        <v>15</v>
      </c>
      <c r="B473" t="s">
        <v>15</v>
      </c>
      <c r="C473" t="s">
        <v>15</v>
      </c>
      <c r="D473" t="s">
        <v>15</v>
      </c>
    </row>
    <row r="474" spans="1:9" x14ac:dyDescent="0.35">
      <c r="A474" t="s">
        <v>9</v>
      </c>
      <c r="B474" t="s">
        <v>143</v>
      </c>
      <c r="C474" t="s">
        <v>100</v>
      </c>
      <c r="D474" t="s">
        <v>77</v>
      </c>
      <c r="E474">
        <v>448.31</v>
      </c>
      <c r="F474">
        <v>16.482900000000001</v>
      </c>
      <c r="G474">
        <v>-0.41810000000000003</v>
      </c>
      <c r="H474">
        <v>447.8184</v>
      </c>
      <c r="I474">
        <v>0</v>
      </c>
    </row>
    <row r="475" spans="1:9" x14ac:dyDescent="0.35">
      <c r="A475" t="s">
        <v>13</v>
      </c>
      <c r="B475" t="s">
        <v>143</v>
      </c>
      <c r="C475" t="s">
        <v>100</v>
      </c>
      <c r="D475" t="s">
        <v>77</v>
      </c>
      <c r="E475">
        <v>448.69099999999997</v>
      </c>
      <c r="F475">
        <v>16.512350000000001</v>
      </c>
      <c r="G475">
        <v>-0.41754999999999998</v>
      </c>
      <c r="H475">
        <v>448.19830000000002</v>
      </c>
      <c r="I475">
        <v>0</v>
      </c>
    </row>
    <row r="476" spans="1:9" x14ac:dyDescent="0.35">
      <c r="A476" t="s">
        <v>14</v>
      </c>
      <c r="B476" t="s">
        <v>143</v>
      </c>
      <c r="C476" t="s">
        <v>100</v>
      </c>
      <c r="D476" t="s">
        <v>77</v>
      </c>
      <c r="E476">
        <v>449.072</v>
      </c>
      <c r="F476">
        <v>16.541799999999999</v>
      </c>
      <c r="G476">
        <v>-0.41699999999999998</v>
      </c>
      <c r="H476">
        <v>448.57819999999998</v>
      </c>
      <c r="I476">
        <v>0</v>
      </c>
    </row>
    <row r="477" spans="1:9" x14ac:dyDescent="0.35">
      <c r="A477" t="s">
        <v>15</v>
      </c>
      <c r="B477" t="s">
        <v>15</v>
      </c>
      <c r="C477" t="s">
        <v>15</v>
      </c>
      <c r="D477" t="s">
        <v>15</v>
      </c>
    </row>
    <row r="478" spans="1:9" x14ac:dyDescent="0.35">
      <c r="A478" t="s">
        <v>9</v>
      </c>
      <c r="B478" t="s">
        <v>144</v>
      </c>
      <c r="C478" t="s">
        <v>27</v>
      </c>
      <c r="D478" t="s">
        <v>70</v>
      </c>
      <c r="E478">
        <v>449.529</v>
      </c>
      <c r="F478">
        <v>16.577100000000002</v>
      </c>
      <c r="G478">
        <v>-0.41639999999999999</v>
      </c>
      <c r="H478">
        <v>449.03379999999999</v>
      </c>
      <c r="I478">
        <v>0</v>
      </c>
    </row>
    <row r="479" spans="1:9" x14ac:dyDescent="0.35">
      <c r="A479" t="s">
        <v>13</v>
      </c>
      <c r="B479" t="s">
        <v>144</v>
      </c>
      <c r="C479" t="s">
        <v>27</v>
      </c>
      <c r="D479" t="s">
        <v>70</v>
      </c>
      <c r="E479">
        <v>451.053</v>
      </c>
      <c r="F479">
        <v>16.68805</v>
      </c>
      <c r="G479">
        <v>-0.41425000000000001</v>
      </c>
      <c r="H479">
        <v>450.55374999999998</v>
      </c>
      <c r="I479">
        <v>0</v>
      </c>
    </row>
    <row r="480" spans="1:9" x14ac:dyDescent="0.35">
      <c r="A480" t="s">
        <v>14</v>
      </c>
      <c r="B480" t="s">
        <v>144</v>
      </c>
      <c r="C480" t="s">
        <v>27</v>
      </c>
      <c r="D480" t="s">
        <v>70</v>
      </c>
      <c r="E480">
        <v>452.577</v>
      </c>
      <c r="F480">
        <v>16.798999999999999</v>
      </c>
      <c r="G480">
        <v>-0.41210000000000002</v>
      </c>
      <c r="H480">
        <v>452.07369999999997</v>
      </c>
      <c r="I480">
        <v>0</v>
      </c>
    </row>
    <row r="481" spans="1:9" x14ac:dyDescent="0.35">
      <c r="A481" t="s">
        <v>15</v>
      </c>
      <c r="B481" t="s">
        <v>15</v>
      </c>
      <c r="C481" t="s">
        <v>15</v>
      </c>
      <c r="D481" t="s">
        <v>15</v>
      </c>
    </row>
    <row r="482" spans="1:9" x14ac:dyDescent="0.35">
      <c r="A482" t="s">
        <v>9</v>
      </c>
      <c r="B482" t="s">
        <v>145</v>
      </c>
      <c r="C482" t="s">
        <v>27</v>
      </c>
      <c r="D482" t="s">
        <v>146</v>
      </c>
      <c r="E482">
        <v>453.03399999999999</v>
      </c>
      <c r="F482">
        <v>16.830200000000001</v>
      </c>
      <c r="G482">
        <v>-0.41139999999999999</v>
      </c>
      <c r="H482">
        <v>452.52960000000002</v>
      </c>
      <c r="I482">
        <v>0</v>
      </c>
    </row>
    <row r="483" spans="1:9" x14ac:dyDescent="0.35">
      <c r="A483" t="s">
        <v>13</v>
      </c>
      <c r="B483" t="s">
        <v>145</v>
      </c>
      <c r="C483" t="s">
        <v>27</v>
      </c>
      <c r="D483" t="s">
        <v>146</v>
      </c>
      <c r="E483">
        <v>454.55799999999999</v>
      </c>
      <c r="F483">
        <v>16.92765</v>
      </c>
      <c r="G483">
        <v>-0.4093</v>
      </c>
      <c r="H483">
        <v>454.0505</v>
      </c>
      <c r="I483">
        <v>0</v>
      </c>
    </row>
    <row r="484" spans="1:9" x14ac:dyDescent="0.35">
      <c r="A484" t="s">
        <v>14</v>
      </c>
      <c r="B484" t="s">
        <v>145</v>
      </c>
      <c r="C484" t="s">
        <v>27</v>
      </c>
      <c r="D484" t="s">
        <v>146</v>
      </c>
      <c r="E484">
        <v>456.08199999999999</v>
      </c>
      <c r="F484">
        <v>17.025099999999998</v>
      </c>
      <c r="G484">
        <v>-0.40720000000000001</v>
      </c>
      <c r="H484">
        <v>455.57139999999998</v>
      </c>
      <c r="I484">
        <v>0</v>
      </c>
    </row>
    <row r="485" spans="1:9" x14ac:dyDescent="0.35">
      <c r="A485" t="s">
        <v>15</v>
      </c>
      <c r="B485" t="s">
        <v>15</v>
      </c>
      <c r="C485" t="s">
        <v>15</v>
      </c>
      <c r="D485" t="s">
        <v>15</v>
      </c>
    </row>
    <row r="486" spans="1:9" x14ac:dyDescent="0.35">
      <c r="A486" t="s">
        <v>9</v>
      </c>
      <c r="B486" t="s">
        <v>147</v>
      </c>
      <c r="C486" t="s">
        <v>27</v>
      </c>
      <c r="D486" t="s">
        <v>70</v>
      </c>
      <c r="E486">
        <v>456.53899999999999</v>
      </c>
      <c r="F486">
        <v>17.052299999999999</v>
      </c>
      <c r="G486">
        <v>-0.40649999999999997</v>
      </c>
      <c r="H486">
        <v>456.02760000000001</v>
      </c>
      <c r="I486">
        <v>0</v>
      </c>
    </row>
    <row r="487" spans="1:9" x14ac:dyDescent="0.35">
      <c r="A487" t="s">
        <v>13</v>
      </c>
      <c r="B487" t="s">
        <v>147</v>
      </c>
      <c r="C487" t="s">
        <v>27</v>
      </c>
      <c r="D487" t="s">
        <v>70</v>
      </c>
      <c r="E487">
        <v>458.06299999999999</v>
      </c>
      <c r="F487">
        <v>17.136199999999999</v>
      </c>
      <c r="G487">
        <v>-0.40434999999999999</v>
      </c>
      <c r="H487">
        <v>457.54924999999997</v>
      </c>
      <c r="I487">
        <v>0</v>
      </c>
    </row>
    <row r="488" spans="1:9" x14ac:dyDescent="0.35">
      <c r="A488" t="s">
        <v>14</v>
      </c>
      <c r="B488" t="s">
        <v>147</v>
      </c>
      <c r="C488" t="s">
        <v>27</v>
      </c>
      <c r="D488" t="s">
        <v>70</v>
      </c>
      <c r="E488">
        <v>459.58699999999999</v>
      </c>
      <c r="F488">
        <v>17.220099999999999</v>
      </c>
      <c r="G488">
        <v>-0.4022</v>
      </c>
      <c r="H488">
        <v>459.07089999999999</v>
      </c>
      <c r="I488">
        <v>0</v>
      </c>
    </row>
    <row r="489" spans="1:9" x14ac:dyDescent="0.35">
      <c r="A489" t="s">
        <v>15</v>
      </c>
      <c r="B489" t="s">
        <v>15</v>
      </c>
      <c r="C489" t="s">
        <v>15</v>
      </c>
      <c r="D489" t="s">
        <v>15</v>
      </c>
    </row>
    <row r="490" spans="1:9" x14ac:dyDescent="0.35">
      <c r="A490" t="s">
        <v>9</v>
      </c>
      <c r="B490" t="s">
        <v>148</v>
      </c>
      <c r="C490" t="s">
        <v>27</v>
      </c>
      <c r="D490" t="s">
        <v>70</v>
      </c>
      <c r="E490">
        <v>460.04399999999998</v>
      </c>
      <c r="F490">
        <v>17.243200000000002</v>
      </c>
      <c r="G490">
        <v>-0.40160000000000001</v>
      </c>
      <c r="H490">
        <v>459.52730000000003</v>
      </c>
      <c r="I490">
        <v>0</v>
      </c>
    </row>
    <row r="491" spans="1:9" x14ac:dyDescent="0.35">
      <c r="A491" t="s">
        <v>13</v>
      </c>
      <c r="B491" t="s">
        <v>148</v>
      </c>
      <c r="C491" t="s">
        <v>27</v>
      </c>
      <c r="D491" t="s">
        <v>70</v>
      </c>
      <c r="E491">
        <v>461.56799999999998</v>
      </c>
      <c r="F491">
        <v>17.313549999999999</v>
      </c>
      <c r="G491">
        <v>-0.39945000000000003</v>
      </c>
      <c r="H491">
        <v>461.04969999999997</v>
      </c>
      <c r="I491">
        <v>0</v>
      </c>
    </row>
    <row r="492" spans="1:9" x14ac:dyDescent="0.35">
      <c r="A492" t="s">
        <v>14</v>
      </c>
      <c r="B492" t="s">
        <v>148</v>
      </c>
      <c r="C492" t="s">
        <v>27</v>
      </c>
      <c r="D492" t="s">
        <v>70</v>
      </c>
      <c r="E492">
        <v>463.09199999999998</v>
      </c>
      <c r="F492">
        <v>17.383900000000001</v>
      </c>
      <c r="G492">
        <v>-0.39729999999999999</v>
      </c>
      <c r="H492">
        <v>462.57209999999998</v>
      </c>
      <c r="I492">
        <v>0</v>
      </c>
    </row>
    <row r="493" spans="1:9" x14ac:dyDescent="0.35">
      <c r="A493" t="s">
        <v>15</v>
      </c>
      <c r="B493" t="s">
        <v>15</v>
      </c>
      <c r="C493" t="s">
        <v>15</v>
      </c>
      <c r="D493" t="s">
        <v>15</v>
      </c>
    </row>
    <row r="494" spans="1:9" x14ac:dyDescent="0.35">
      <c r="A494" t="s">
        <v>9</v>
      </c>
      <c r="B494" t="s">
        <v>149</v>
      </c>
      <c r="C494" t="s">
        <v>27</v>
      </c>
      <c r="D494" t="s">
        <v>70</v>
      </c>
      <c r="E494">
        <v>463.54899999999998</v>
      </c>
      <c r="F494">
        <v>17.402999999999999</v>
      </c>
      <c r="G494">
        <v>-0.3967</v>
      </c>
      <c r="H494">
        <v>463.02870000000001</v>
      </c>
      <c r="I494">
        <v>0</v>
      </c>
    </row>
    <row r="495" spans="1:9" x14ac:dyDescent="0.35">
      <c r="A495" t="s">
        <v>13</v>
      </c>
      <c r="B495" t="s">
        <v>149</v>
      </c>
      <c r="C495" t="s">
        <v>27</v>
      </c>
      <c r="D495" t="s">
        <v>70</v>
      </c>
      <c r="E495">
        <v>465.07299999999998</v>
      </c>
      <c r="F495">
        <v>17.459800000000001</v>
      </c>
      <c r="G495">
        <v>-0.39455000000000001</v>
      </c>
      <c r="H495">
        <v>464.55165</v>
      </c>
      <c r="I495">
        <v>0</v>
      </c>
    </row>
    <row r="496" spans="1:9" x14ac:dyDescent="0.35">
      <c r="A496" t="s">
        <v>14</v>
      </c>
      <c r="B496" t="s">
        <v>149</v>
      </c>
      <c r="C496" t="s">
        <v>27</v>
      </c>
      <c r="D496" t="s">
        <v>70</v>
      </c>
      <c r="E496">
        <v>466.59699999999998</v>
      </c>
      <c r="F496">
        <v>17.5166</v>
      </c>
      <c r="G496">
        <v>-0.39240000000000003</v>
      </c>
      <c r="H496">
        <v>466.07459999999998</v>
      </c>
      <c r="I496">
        <v>0</v>
      </c>
    </row>
    <row r="497" spans="1:9" x14ac:dyDescent="0.35">
      <c r="A497" t="s">
        <v>15</v>
      </c>
      <c r="B497" t="s">
        <v>15</v>
      </c>
      <c r="C497" t="s">
        <v>15</v>
      </c>
      <c r="D497" t="s">
        <v>15</v>
      </c>
    </row>
    <row r="498" spans="1:9" x14ac:dyDescent="0.35">
      <c r="A498" t="s">
        <v>9</v>
      </c>
      <c r="B498" t="s">
        <v>150</v>
      </c>
      <c r="C498" t="s">
        <v>11</v>
      </c>
      <c r="D498" t="s">
        <v>12</v>
      </c>
      <c r="E498">
        <v>467.05399999999997</v>
      </c>
      <c r="F498">
        <v>17.531600000000001</v>
      </c>
      <c r="G498">
        <v>-0.39179999999999998</v>
      </c>
      <c r="H498">
        <v>466.53129999999999</v>
      </c>
      <c r="I498">
        <v>0</v>
      </c>
    </row>
    <row r="499" spans="1:9" x14ac:dyDescent="0.35">
      <c r="A499" t="s">
        <v>13</v>
      </c>
      <c r="B499" t="s">
        <v>150</v>
      </c>
      <c r="C499" t="s">
        <v>11</v>
      </c>
      <c r="D499" t="s">
        <v>12</v>
      </c>
      <c r="E499">
        <v>467.05399999999997</v>
      </c>
      <c r="F499">
        <v>17.531600000000001</v>
      </c>
      <c r="G499">
        <v>-0.39179999999999998</v>
      </c>
      <c r="H499">
        <v>466.53129999999999</v>
      </c>
      <c r="I499">
        <v>0</v>
      </c>
    </row>
    <row r="500" spans="1:9" x14ac:dyDescent="0.35">
      <c r="A500" t="s">
        <v>14</v>
      </c>
      <c r="B500" t="s">
        <v>150</v>
      </c>
      <c r="C500" t="s">
        <v>11</v>
      </c>
      <c r="D500" t="s">
        <v>12</v>
      </c>
      <c r="E500">
        <v>467.05399999999997</v>
      </c>
      <c r="F500">
        <v>17.531600000000001</v>
      </c>
      <c r="G500">
        <v>-0.39179999999999998</v>
      </c>
      <c r="H500">
        <v>466.53129999999999</v>
      </c>
      <c r="I500">
        <v>0</v>
      </c>
    </row>
    <row r="501" spans="1:9" x14ac:dyDescent="0.35">
      <c r="A501" t="s">
        <v>15</v>
      </c>
      <c r="B501" t="s">
        <v>15</v>
      </c>
      <c r="C501" t="s">
        <v>15</v>
      </c>
      <c r="D501" t="s">
        <v>15</v>
      </c>
    </row>
    <row r="502" spans="1:9" x14ac:dyDescent="0.35">
      <c r="A502" t="s">
        <v>9</v>
      </c>
      <c r="B502" t="s">
        <v>151</v>
      </c>
      <c r="C502" t="s">
        <v>11</v>
      </c>
      <c r="D502" t="s">
        <v>12</v>
      </c>
      <c r="E502">
        <v>467.05399999999997</v>
      </c>
      <c r="F502">
        <v>17.531600000000001</v>
      </c>
      <c r="G502">
        <v>-0.39179999999999998</v>
      </c>
      <c r="H502">
        <v>466.53129999999999</v>
      </c>
      <c r="I502">
        <v>0</v>
      </c>
    </row>
    <row r="503" spans="1:9" x14ac:dyDescent="0.35">
      <c r="A503" t="s">
        <v>13</v>
      </c>
      <c r="B503" t="s">
        <v>151</v>
      </c>
      <c r="C503" t="s">
        <v>11</v>
      </c>
      <c r="D503" t="s">
        <v>12</v>
      </c>
      <c r="E503">
        <v>467.05399999999997</v>
      </c>
      <c r="F503">
        <v>17.531600000000001</v>
      </c>
      <c r="G503">
        <v>-0.39179999999999998</v>
      </c>
      <c r="H503">
        <v>466.53129999999999</v>
      </c>
      <c r="I503">
        <v>0</v>
      </c>
    </row>
    <row r="504" spans="1:9" x14ac:dyDescent="0.35">
      <c r="A504" t="s">
        <v>14</v>
      </c>
      <c r="B504" t="s">
        <v>151</v>
      </c>
      <c r="C504" t="s">
        <v>11</v>
      </c>
      <c r="D504" t="s">
        <v>12</v>
      </c>
      <c r="E504">
        <v>467.05399999999997</v>
      </c>
      <c r="F504">
        <v>17.531600000000001</v>
      </c>
      <c r="G504">
        <v>-0.39179999999999998</v>
      </c>
      <c r="H504">
        <v>466.53129999999999</v>
      </c>
      <c r="I504">
        <v>0</v>
      </c>
    </row>
    <row r="505" spans="1:9" x14ac:dyDescent="0.35">
      <c r="A505" t="s">
        <v>15</v>
      </c>
      <c r="B505" t="s">
        <v>15</v>
      </c>
      <c r="C505" t="s">
        <v>15</v>
      </c>
      <c r="D505" t="s">
        <v>15</v>
      </c>
    </row>
    <row r="506" spans="1:9" x14ac:dyDescent="0.35">
      <c r="A506" t="s">
        <v>9</v>
      </c>
      <c r="B506" t="s">
        <v>152</v>
      </c>
      <c r="C506" t="s">
        <v>66</v>
      </c>
      <c r="D506" t="s">
        <v>67</v>
      </c>
      <c r="E506">
        <v>475.74099999999999</v>
      </c>
      <c r="F506">
        <v>17.816600000000001</v>
      </c>
      <c r="G506">
        <v>-0.37969999999999998</v>
      </c>
      <c r="H506">
        <v>475.21359999999999</v>
      </c>
      <c r="I506">
        <v>90</v>
      </c>
    </row>
    <row r="507" spans="1:9" x14ac:dyDescent="0.35">
      <c r="A507" t="s">
        <v>13</v>
      </c>
      <c r="B507" t="s">
        <v>152</v>
      </c>
      <c r="C507" t="s">
        <v>66</v>
      </c>
      <c r="D507" t="s">
        <v>67</v>
      </c>
      <c r="E507">
        <v>477.26499999999999</v>
      </c>
      <c r="F507">
        <v>17.86665</v>
      </c>
      <c r="G507">
        <v>-0.37755</v>
      </c>
      <c r="H507">
        <v>476.73680000000002</v>
      </c>
      <c r="I507">
        <v>90</v>
      </c>
    </row>
    <row r="508" spans="1:9" x14ac:dyDescent="0.35">
      <c r="A508" t="s">
        <v>14</v>
      </c>
      <c r="B508" t="s">
        <v>152</v>
      </c>
      <c r="C508" t="s">
        <v>66</v>
      </c>
      <c r="D508" t="s">
        <v>67</v>
      </c>
      <c r="E508">
        <v>478.78899999999999</v>
      </c>
      <c r="F508">
        <v>17.916699999999999</v>
      </c>
      <c r="G508">
        <v>-0.37540000000000001</v>
      </c>
      <c r="H508">
        <v>478.26</v>
      </c>
      <c r="I508">
        <v>90</v>
      </c>
    </row>
    <row r="509" spans="1:9" x14ac:dyDescent="0.35">
      <c r="A509" t="s">
        <v>15</v>
      </c>
      <c r="B509" t="s">
        <v>15</v>
      </c>
      <c r="C509" t="s">
        <v>15</v>
      </c>
      <c r="D509" t="s">
        <v>15</v>
      </c>
    </row>
    <row r="510" spans="1:9" x14ac:dyDescent="0.35">
      <c r="A510" t="s">
        <v>9</v>
      </c>
      <c r="B510" t="s">
        <v>153</v>
      </c>
      <c r="C510" t="s">
        <v>66</v>
      </c>
      <c r="D510" t="s">
        <v>67</v>
      </c>
      <c r="E510">
        <v>479.995</v>
      </c>
      <c r="F510">
        <v>17.956199999999999</v>
      </c>
      <c r="G510">
        <v>-0.37369999999999998</v>
      </c>
      <c r="H510">
        <v>479.46539999999999</v>
      </c>
      <c r="I510">
        <v>0</v>
      </c>
    </row>
    <row r="511" spans="1:9" x14ac:dyDescent="0.35">
      <c r="A511" t="s">
        <v>13</v>
      </c>
      <c r="B511" t="s">
        <v>153</v>
      </c>
      <c r="C511" t="s">
        <v>66</v>
      </c>
      <c r="D511" t="s">
        <v>67</v>
      </c>
      <c r="E511">
        <v>481.51900000000001</v>
      </c>
      <c r="F511">
        <v>18.006250000000001</v>
      </c>
      <c r="G511">
        <v>-0.37159999999999999</v>
      </c>
      <c r="H511">
        <v>480.98860000000002</v>
      </c>
      <c r="I511">
        <v>0</v>
      </c>
    </row>
    <row r="512" spans="1:9" x14ac:dyDescent="0.35">
      <c r="A512" t="s">
        <v>14</v>
      </c>
      <c r="B512" t="s">
        <v>153</v>
      </c>
      <c r="C512" t="s">
        <v>66</v>
      </c>
      <c r="D512" t="s">
        <v>67</v>
      </c>
      <c r="E512">
        <v>483.04300000000001</v>
      </c>
      <c r="F512">
        <v>18.0563</v>
      </c>
      <c r="G512">
        <v>-0.3695</v>
      </c>
      <c r="H512">
        <v>482.51179999999999</v>
      </c>
      <c r="I512">
        <v>0</v>
      </c>
    </row>
    <row r="513" spans="1:9" x14ac:dyDescent="0.35">
      <c r="A513" t="s">
        <v>15</v>
      </c>
      <c r="B513" t="s">
        <v>15</v>
      </c>
      <c r="C513" t="s">
        <v>15</v>
      </c>
      <c r="D513" t="s">
        <v>15</v>
      </c>
    </row>
    <row r="514" spans="1:9" x14ac:dyDescent="0.35">
      <c r="A514" t="s">
        <v>9</v>
      </c>
      <c r="B514" t="s">
        <v>154</v>
      </c>
      <c r="C514" t="s">
        <v>100</v>
      </c>
      <c r="D514" t="s">
        <v>77</v>
      </c>
      <c r="E514">
        <v>483.92</v>
      </c>
      <c r="F514">
        <v>18.085000000000001</v>
      </c>
      <c r="G514">
        <v>-0.36820000000000003</v>
      </c>
      <c r="H514">
        <v>483.38760000000002</v>
      </c>
      <c r="I514">
        <v>0</v>
      </c>
    </row>
    <row r="515" spans="1:9" x14ac:dyDescent="0.35">
      <c r="A515" t="s">
        <v>13</v>
      </c>
      <c r="B515" t="s">
        <v>154</v>
      </c>
      <c r="C515" t="s">
        <v>100</v>
      </c>
      <c r="D515" t="s">
        <v>77</v>
      </c>
      <c r="E515">
        <v>484.30099999999999</v>
      </c>
      <c r="F515">
        <v>18.0975</v>
      </c>
      <c r="G515">
        <v>-0.36770000000000003</v>
      </c>
      <c r="H515">
        <v>483.76839999999999</v>
      </c>
      <c r="I515">
        <v>0</v>
      </c>
    </row>
    <row r="516" spans="1:9" x14ac:dyDescent="0.35">
      <c r="A516" t="s">
        <v>14</v>
      </c>
      <c r="B516" t="s">
        <v>154</v>
      </c>
      <c r="C516" t="s">
        <v>100</v>
      </c>
      <c r="D516" t="s">
        <v>77</v>
      </c>
      <c r="E516">
        <v>484.68200000000002</v>
      </c>
      <c r="F516">
        <v>18.11</v>
      </c>
      <c r="G516">
        <v>-0.36720000000000003</v>
      </c>
      <c r="H516">
        <v>484.14920000000001</v>
      </c>
      <c r="I516">
        <v>0</v>
      </c>
    </row>
    <row r="517" spans="1:9" x14ac:dyDescent="0.35">
      <c r="A517" t="s">
        <v>15</v>
      </c>
      <c r="B517" t="s">
        <v>15</v>
      </c>
      <c r="C517" t="s">
        <v>15</v>
      </c>
      <c r="D517" t="s">
        <v>15</v>
      </c>
    </row>
    <row r="518" spans="1:9" x14ac:dyDescent="0.35">
      <c r="A518" t="s">
        <v>9</v>
      </c>
      <c r="B518" t="s">
        <v>155</v>
      </c>
      <c r="C518" t="s">
        <v>136</v>
      </c>
      <c r="D518" t="s">
        <v>77</v>
      </c>
      <c r="E518">
        <v>485.55799999999999</v>
      </c>
      <c r="F518">
        <v>18.1388</v>
      </c>
      <c r="G518">
        <v>-0.3659</v>
      </c>
      <c r="H518">
        <v>485.02499999999998</v>
      </c>
      <c r="I518">
        <v>0</v>
      </c>
    </row>
    <row r="519" spans="1:9" x14ac:dyDescent="0.35">
      <c r="A519" t="s">
        <v>13</v>
      </c>
      <c r="B519" t="s">
        <v>155</v>
      </c>
      <c r="C519" t="s">
        <v>136</v>
      </c>
      <c r="D519" t="s">
        <v>77</v>
      </c>
      <c r="E519">
        <v>485.93900000000002</v>
      </c>
      <c r="F519">
        <v>18.151299999999999</v>
      </c>
      <c r="G519">
        <v>-0.3654</v>
      </c>
      <c r="H519">
        <v>485.4058</v>
      </c>
      <c r="I519">
        <v>0</v>
      </c>
    </row>
    <row r="520" spans="1:9" x14ac:dyDescent="0.35">
      <c r="A520" t="s">
        <v>14</v>
      </c>
      <c r="B520" t="s">
        <v>155</v>
      </c>
      <c r="C520" t="s">
        <v>136</v>
      </c>
      <c r="D520" t="s">
        <v>77</v>
      </c>
      <c r="E520">
        <v>486.32</v>
      </c>
      <c r="F520">
        <v>18.163799999999998</v>
      </c>
      <c r="G520">
        <v>-0.3649</v>
      </c>
      <c r="H520">
        <v>485.78660000000002</v>
      </c>
      <c r="I520">
        <v>0</v>
      </c>
    </row>
    <row r="521" spans="1:9" x14ac:dyDescent="0.35">
      <c r="A521" t="s">
        <v>15</v>
      </c>
      <c r="B521" t="s">
        <v>15</v>
      </c>
      <c r="C521" t="s">
        <v>15</v>
      </c>
      <c r="D521" t="s">
        <v>15</v>
      </c>
    </row>
    <row r="522" spans="1:9" x14ac:dyDescent="0.35">
      <c r="A522" t="s">
        <v>9</v>
      </c>
      <c r="B522" t="s">
        <v>156</v>
      </c>
      <c r="C522" t="s">
        <v>11</v>
      </c>
      <c r="D522" t="s">
        <v>24</v>
      </c>
      <c r="E522">
        <v>486.73899999999998</v>
      </c>
      <c r="F522">
        <v>18.177600000000002</v>
      </c>
      <c r="G522">
        <v>-0.36430000000000001</v>
      </c>
      <c r="H522">
        <v>486.20549999999997</v>
      </c>
      <c r="I522">
        <v>0</v>
      </c>
    </row>
    <row r="523" spans="1:9" x14ac:dyDescent="0.35">
      <c r="A523" t="s">
        <v>13</v>
      </c>
      <c r="B523" t="s">
        <v>156</v>
      </c>
      <c r="C523" t="s">
        <v>11</v>
      </c>
      <c r="D523" t="s">
        <v>24</v>
      </c>
      <c r="E523">
        <v>486.73899999999998</v>
      </c>
      <c r="F523">
        <v>18.177600000000002</v>
      </c>
      <c r="G523">
        <v>-0.36430000000000001</v>
      </c>
      <c r="H523">
        <v>486.20549999999997</v>
      </c>
      <c r="I523">
        <v>0</v>
      </c>
    </row>
    <row r="524" spans="1:9" x14ac:dyDescent="0.35">
      <c r="A524" t="s">
        <v>14</v>
      </c>
      <c r="B524" t="s">
        <v>156</v>
      </c>
      <c r="C524" t="s">
        <v>11</v>
      </c>
      <c r="D524" t="s">
        <v>24</v>
      </c>
      <c r="E524">
        <v>486.73899999999998</v>
      </c>
      <c r="F524">
        <v>18.177600000000002</v>
      </c>
      <c r="G524">
        <v>-0.36430000000000001</v>
      </c>
      <c r="H524">
        <v>486.20549999999997</v>
      </c>
      <c r="I524">
        <v>0</v>
      </c>
    </row>
    <row r="525" spans="1:9" x14ac:dyDescent="0.35">
      <c r="A525" t="s">
        <v>15</v>
      </c>
      <c r="B525" t="s">
        <v>15</v>
      </c>
      <c r="C525" t="s">
        <v>15</v>
      </c>
      <c r="D525" t="s">
        <v>15</v>
      </c>
    </row>
    <row r="526" spans="1:9" x14ac:dyDescent="0.35">
      <c r="A526" t="s">
        <v>9</v>
      </c>
      <c r="B526" t="s">
        <v>55</v>
      </c>
      <c r="C526" t="s">
        <v>11</v>
      </c>
      <c r="D526" t="s">
        <v>56</v>
      </c>
      <c r="E526">
        <v>488.923</v>
      </c>
      <c r="F526">
        <v>18.249199999999998</v>
      </c>
      <c r="G526">
        <v>-0.36120000000000002</v>
      </c>
      <c r="H526">
        <v>488.38869999999997</v>
      </c>
      <c r="I526">
        <v>0</v>
      </c>
    </row>
    <row r="527" spans="1:9" x14ac:dyDescent="0.35">
      <c r="A527" t="s">
        <v>13</v>
      </c>
      <c r="B527" t="s">
        <v>55</v>
      </c>
      <c r="C527" t="s">
        <v>11</v>
      </c>
      <c r="D527" t="s">
        <v>56</v>
      </c>
      <c r="E527">
        <v>488.923</v>
      </c>
      <c r="F527">
        <v>18.249199999999998</v>
      </c>
      <c r="G527">
        <v>-0.36120000000000002</v>
      </c>
      <c r="H527">
        <v>488.38869999999997</v>
      </c>
      <c r="I527">
        <v>0</v>
      </c>
    </row>
    <row r="528" spans="1:9" x14ac:dyDescent="0.35">
      <c r="A528" t="s">
        <v>14</v>
      </c>
      <c r="B528" t="s">
        <v>55</v>
      </c>
      <c r="C528" t="s">
        <v>11</v>
      </c>
      <c r="D528" t="s">
        <v>56</v>
      </c>
      <c r="E528">
        <v>488.923</v>
      </c>
      <c r="F528">
        <v>18.249199999999998</v>
      </c>
      <c r="G528">
        <v>-0.36120000000000002</v>
      </c>
      <c r="H528">
        <v>488.38869999999997</v>
      </c>
      <c r="I528">
        <v>0</v>
      </c>
    </row>
    <row r="529" spans="1:9" x14ac:dyDescent="0.35">
      <c r="A529" t="s">
        <v>15</v>
      </c>
      <c r="B529" t="s">
        <v>15</v>
      </c>
      <c r="C529" t="s">
        <v>15</v>
      </c>
      <c r="D529" t="s">
        <v>15</v>
      </c>
    </row>
    <row r="530" spans="1:9" x14ac:dyDescent="0.35">
      <c r="A530" t="s">
        <v>9</v>
      </c>
      <c r="B530" t="s">
        <v>55</v>
      </c>
      <c r="C530" t="s">
        <v>11</v>
      </c>
      <c r="D530" t="s">
        <v>56</v>
      </c>
      <c r="E530">
        <v>504.214</v>
      </c>
      <c r="F530">
        <v>18.751000000000001</v>
      </c>
      <c r="G530">
        <v>-0.33989999999999998</v>
      </c>
      <c r="H530">
        <v>503.67129999999997</v>
      </c>
      <c r="I530">
        <v>0</v>
      </c>
    </row>
    <row r="531" spans="1:9" x14ac:dyDescent="0.35">
      <c r="A531" t="s">
        <v>13</v>
      </c>
      <c r="B531" t="s">
        <v>55</v>
      </c>
      <c r="C531" t="s">
        <v>11</v>
      </c>
      <c r="D531" t="s">
        <v>56</v>
      </c>
      <c r="E531">
        <v>504.214</v>
      </c>
      <c r="F531">
        <v>18.751000000000001</v>
      </c>
      <c r="G531">
        <v>-0.33989999999999998</v>
      </c>
      <c r="H531">
        <v>503.67129999999997</v>
      </c>
      <c r="I531">
        <v>0</v>
      </c>
    </row>
    <row r="532" spans="1:9" x14ac:dyDescent="0.35">
      <c r="A532" t="s">
        <v>14</v>
      </c>
      <c r="B532" t="s">
        <v>55</v>
      </c>
      <c r="C532" t="s">
        <v>11</v>
      </c>
      <c r="D532" t="s">
        <v>56</v>
      </c>
      <c r="E532">
        <v>504.214</v>
      </c>
      <c r="F532">
        <v>18.751000000000001</v>
      </c>
      <c r="G532">
        <v>-0.33989999999999998</v>
      </c>
      <c r="H532">
        <v>503.67129999999997</v>
      </c>
      <c r="I532">
        <v>0</v>
      </c>
    </row>
    <row r="533" spans="1:9" x14ac:dyDescent="0.35">
      <c r="A533" t="s">
        <v>15</v>
      </c>
      <c r="B533" t="s">
        <v>15</v>
      </c>
      <c r="C533" t="s">
        <v>15</v>
      </c>
      <c r="D533" t="s">
        <v>15</v>
      </c>
    </row>
    <row r="534" spans="1:9" x14ac:dyDescent="0.35">
      <c r="A534" t="s">
        <v>9</v>
      </c>
      <c r="B534" t="s">
        <v>157</v>
      </c>
      <c r="C534" t="s">
        <v>11</v>
      </c>
      <c r="D534" t="s">
        <v>12</v>
      </c>
      <c r="E534">
        <v>521.13400000000001</v>
      </c>
      <c r="F534">
        <v>19.3063</v>
      </c>
      <c r="G534">
        <v>-0.31619999999999998</v>
      </c>
      <c r="H534">
        <v>520.58219999999994</v>
      </c>
      <c r="I534">
        <v>0</v>
      </c>
    </row>
    <row r="535" spans="1:9" x14ac:dyDescent="0.35">
      <c r="A535" t="s">
        <v>13</v>
      </c>
      <c r="B535" t="s">
        <v>157</v>
      </c>
      <c r="C535" t="s">
        <v>11</v>
      </c>
      <c r="D535" t="s">
        <v>12</v>
      </c>
      <c r="E535">
        <v>521.13400000000001</v>
      </c>
      <c r="F535">
        <v>19.3063</v>
      </c>
      <c r="G535">
        <v>-0.31619999999999998</v>
      </c>
      <c r="H535">
        <v>520.58219999999994</v>
      </c>
      <c r="I535">
        <v>0</v>
      </c>
    </row>
    <row r="536" spans="1:9" x14ac:dyDescent="0.35">
      <c r="A536" t="s">
        <v>14</v>
      </c>
      <c r="B536" t="s">
        <v>157</v>
      </c>
      <c r="C536" t="s">
        <v>11</v>
      </c>
      <c r="D536" t="s">
        <v>12</v>
      </c>
      <c r="E536">
        <v>521.13400000000001</v>
      </c>
      <c r="F536">
        <v>19.3063</v>
      </c>
      <c r="G536">
        <v>-0.31619999999999998</v>
      </c>
      <c r="H536">
        <v>520.58219999999994</v>
      </c>
      <c r="I536">
        <v>0</v>
      </c>
    </row>
    <row r="537" spans="1:9" x14ac:dyDescent="0.35">
      <c r="A537" t="s">
        <v>15</v>
      </c>
      <c r="B537" t="s">
        <v>15</v>
      </c>
      <c r="C537" t="s">
        <v>15</v>
      </c>
      <c r="D537" t="s">
        <v>15</v>
      </c>
    </row>
    <row r="538" spans="1:9" x14ac:dyDescent="0.35">
      <c r="A538" t="s">
        <v>9</v>
      </c>
      <c r="B538" t="s">
        <v>158</v>
      </c>
      <c r="C538" t="s">
        <v>11</v>
      </c>
      <c r="D538" t="s">
        <v>12</v>
      </c>
      <c r="E538">
        <v>521.13400000000001</v>
      </c>
      <c r="F538">
        <v>19.3063</v>
      </c>
      <c r="G538">
        <v>-0.31619999999999998</v>
      </c>
      <c r="H538">
        <v>520.58219999999994</v>
      </c>
      <c r="I538">
        <v>0</v>
      </c>
    </row>
    <row r="539" spans="1:9" x14ac:dyDescent="0.35">
      <c r="A539" t="s">
        <v>13</v>
      </c>
      <c r="B539" t="s">
        <v>158</v>
      </c>
      <c r="C539" t="s">
        <v>11</v>
      </c>
      <c r="D539" t="s">
        <v>12</v>
      </c>
      <c r="E539">
        <v>521.13400000000001</v>
      </c>
      <c r="F539">
        <v>19.3063</v>
      </c>
      <c r="G539">
        <v>-0.31619999999999998</v>
      </c>
      <c r="H539">
        <v>520.58219999999994</v>
      </c>
      <c r="I539">
        <v>0</v>
      </c>
    </row>
    <row r="540" spans="1:9" x14ac:dyDescent="0.35">
      <c r="A540" t="s">
        <v>14</v>
      </c>
      <c r="B540" t="s">
        <v>158</v>
      </c>
      <c r="C540" t="s">
        <v>11</v>
      </c>
      <c r="D540" t="s">
        <v>12</v>
      </c>
      <c r="E540">
        <v>521.13400000000001</v>
      </c>
      <c r="F540">
        <v>19.3063</v>
      </c>
      <c r="G540">
        <v>-0.31619999999999998</v>
      </c>
      <c r="H540">
        <v>520.58219999999994</v>
      </c>
      <c r="I540">
        <v>0</v>
      </c>
    </row>
    <row r="541" spans="1:9" x14ac:dyDescent="0.35">
      <c r="A541" t="s">
        <v>15</v>
      </c>
      <c r="B541" t="s">
        <v>15</v>
      </c>
      <c r="C541" t="s">
        <v>15</v>
      </c>
      <c r="D541" t="s">
        <v>15</v>
      </c>
    </row>
    <row r="542" spans="1:9" x14ac:dyDescent="0.35">
      <c r="A542" t="s">
        <v>9</v>
      </c>
      <c r="B542" t="s">
        <v>55</v>
      </c>
      <c r="C542" t="s">
        <v>11</v>
      </c>
      <c r="D542" t="s">
        <v>56</v>
      </c>
      <c r="E542">
        <v>521.13400000000001</v>
      </c>
      <c r="F542">
        <v>19.3063</v>
      </c>
      <c r="G542">
        <v>-0.31619999999999998</v>
      </c>
      <c r="H542">
        <v>520.58219999999994</v>
      </c>
      <c r="I542">
        <v>0</v>
      </c>
    </row>
    <row r="543" spans="1:9" x14ac:dyDescent="0.35">
      <c r="A543" t="s">
        <v>13</v>
      </c>
      <c r="B543" t="s">
        <v>55</v>
      </c>
      <c r="C543" t="s">
        <v>11</v>
      </c>
      <c r="D543" t="s">
        <v>56</v>
      </c>
      <c r="E543">
        <v>521.13400000000001</v>
      </c>
      <c r="F543">
        <v>19.3063</v>
      </c>
      <c r="G543">
        <v>-0.31619999999999998</v>
      </c>
      <c r="H543">
        <v>520.58219999999994</v>
      </c>
      <c r="I543">
        <v>0</v>
      </c>
    </row>
    <row r="544" spans="1:9" x14ac:dyDescent="0.35">
      <c r="A544" t="s">
        <v>14</v>
      </c>
      <c r="B544" t="s">
        <v>55</v>
      </c>
      <c r="C544" t="s">
        <v>11</v>
      </c>
      <c r="D544" t="s">
        <v>56</v>
      </c>
      <c r="E544">
        <v>521.13400000000001</v>
      </c>
      <c r="F544">
        <v>19.3063</v>
      </c>
      <c r="G544">
        <v>-0.31619999999999998</v>
      </c>
      <c r="H544">
        <v>520.58219999999994</v>
      </c>
      <c r="I544">
        <v>0</v>
      </c>
    </row>
    <row r="545" spans="1:9" x14ac:dyDescent="0.35">
      <c r="A545" t="s">
        <v>15</v>
      </c>
      <c r="B545" t="s">
        <v>15</v>
      </c>
      <c r="C545" t="s">
        <v>15</v>
      </c>
      <c r="D545" t="s">
        <v>15</v>
      </c>
    </row>
    <row r="546" spans="1:9" x14ac:dyDescent="0.35">
      <c r="A546" t="s">
        <v>9</v>
      </c>
      <c r="B546" t="s">
        <v>159</v>
      </c>
      <c r="C546" t="s">
        <v>11</v>
      </c>
      <c r="D546" t="s">
        <v>142</v>
      </c>
      <c r="E546">
        <v>521.16499999999996</v>
      </c>
      <c r="F546">
        <v>19.307300000000001</v>
      </c>
      <c r="G546">
        <v>-0.31619999999999998</v>
      </c>
      <c r="H546">
        <v>520.61260000000004</v>
      </c>
      <c r="I546">
        <v>0</v>
      </c>
    </row>
    <row r="547" spans="1:9" x14ac:dyDescent="0.35">
      <c r="A547" t="s">
        <v>13</v>
      </c>
      <c r="B547" t="s">
        <v>159</v>
      </c>
      <c r="C547" t="s">
        <v>11</v>
      </c>
      <c r="D547" t="s">
        <v>142</v>
      </c>
      <c r="E547">
        <v>521.16499999999996</v>
      </c>
      <c r="F547">
        <v>19.307300000000001</v>
      </c>
      <c r="G547">
        <v>-0.31619999999999998</v>
      </c>
      <c r="H547">
        <v>520.61260000000004</v>
      </c>
      <c r="I547">
        <v>0</v>
      </c>
    </row>
    <row r="548" spans="1:9" x14ac:dyDescent="0.35">
      <c r="A548" t="s">
        <v>14</v>
      </c>
      <c r="B548" t="s">
        <v>159</v>
      </c>
      <c r="C548" t="s">
        <v>11</v>
      </c>
      <c r="D548" t="s">
        <v>142</v>
      </c>
      <c r="E548">
        <v>521.16499999999996</v>
      </c>
      <c r="F548">
        <v>19.307300000000001</v>
      </c>
      <c r="G548">
        <v>-0.31619999999999998</v>
      </c>
      <c r="H548">
        <v>520.61260000000004</v>
      </c>
      <c r="I548">
        <v>0</v>
      </c>
    </row>
    <row r="549" spans="1:9" x14ac:dyDescent="0.35">
      <c r="A549" t="s">
        <v>15</v>
      </c>
      <c r="B549" t="s">
        <v>15</v>
      </c>
      <c r="C549" t="s">
        <v>15</v>
      </c>
      <c r="D549" t="s">
        <v>15</v>
      </c>
    </row>
    <row r="550" spans="1:9" x14ac:dyDescent="0.35">
      <c r="A550" t="s">
        <v>9</v>
      </c>
      <c r="B550" t="s">
        <v>160</v>
      </c>
      <c r="C550" t="s">
        <v>11</v>
      </c>
      <c r="D550" t="s">
        <v>24</v>
      </c>
      <c r="E550">
        <v>521.19500000000005</v>
      </c>
      <c r="F550">
        <v>19.308299999999999</v>
      </c>
      <c r="G550">
        <v>-0.31619999999999998</v>
      </c>
      <c r="H550">
        <v>520.6431</v>
      </c>
      <c r="I550">
        <v>0</v>
      </c>
    </row>
    <row r="551" spans="1:9" x14ac:dyDescent="0.35">
      <c r="A551" t="s">
        <v>13</v>
      </c>
      <c r="B551" t="s">
        <v>160</v>
      </c>
      <c r="C551" t="s">
        <v>11</v>
      </c>
      <c r="D551" t="s">
        <v>24</v>
      </c>
      <c r="E551">
        <v>521.19500000000005</v>
      </c>
      <c r="F551">
        <v>19.308299999999999</v>
      </c>
      <c r="G551">
        <v>-0.31619999999999998</v>
      </c>
      <c r="H551">
        <v>520.6431</v>
      </c>
      <c r="I551">
        <v>0</v>
      </c>
    </row>
    <row r="552" spans="1:9" x14ac:dyDescent="0.35">
      <c r="A552" t="s">
        <v>14</v>
      </c>
      <c r="B552" t="s">
        <v>160</v>
      </c>
      <c r="C552" t="s">
        <v>11</v>
      </c>
      <c r="D552" t="s">
        <v>24</v>
      </c>
      <c r="E552">
        <v>521.19500000000005</v>
      </c>
      <c r="F552">
        <v>19.308299999999999</v>
      </c>
      <c r="G552">
        <v>-0.31619999999999998</v>
      </c>
      <c r="H552">
        <v>520.6431</v>
      </c>
      <c r="I552">
        <v>0</v>
      </c>
    </row>
    <row r="553" spans="1:9" x14ac:dyDescent="0.35">
      <c r="A553" t="s">
        <v>15</v>
      </c>
      <c r="B553" t="s">
        <v>15</v>
      </c>
      <c r="C553" t="s">
        <v>15</v>
      </c>
      <c r="D553" t="s">
        <v>15</v>
      </c>
    </row>
    <row r="554" spans="1:9" x14ac:dyDescent="0.35">
      <c r="A554" t="s">
        <v>9</v>
      </c>
      <c r="B554" t="s">
        <v>55</v>
      </c>
      <c r="C554" t="s">
        <v>11</v>
      </c>
      <c r="D554" t="s">
        <v>56</v>
      </c>
      <c r="E554">
        <v>521.19500000000005</v>
      </c>
      <c r="F554">
        <v>19.308299999999999</v>
      </c>
      <c r="G554">
        <v>-0.31619999999999998</v>
      </c>
      <c r="H554">
        <v>520.6431</v>
      </c>
      <c r="I554">
        <v>0</v>
      </c>
    </row>
    <row r="555" spans="1:9" x14ac:dyDescent="0.35">
      <c r="A555" t="s">
        <v>13</v>
      </c>
      <c r="B555" t="s">
        <v>55</v>
      </c>
      <c r="C555" t="s">
        <v>11</v>
      </c>
      <c r="D555" t="s">
        <v>56</v>
      </c>
      <c r="E555">
        <v>521.19500000000005</v>
      </c>
      <c r="F555">
        <v>19.308299999999999</v>
      </c>
      <c r="G555">
        <v>-0.31619999999999998</v>
      </c>
      <c r="H555">
        <v>520.6431</v>
      </c>
      <c r="I555">
        <v>0</v>
      </c>
    </row>
    <row r="556" spans="1:9" x14ac:dyDescent="0.35">
      <c r="A556" t="s">
        <v>14</v>
      </c>
      <c r="B556" t="s">
        <v>55</v>
      </c>
      <c r="C556" t="s">
        <v>11</v>
      </c>
      <c r="D556" t="s">
        <v>56</v>
      </c>
      <c r="E556">
        <v>521.19500000000005</v>
      </c>
      <c r="F556">
        <v>19.308299999999999</v>
      </c>
      <c r="G556">
        <v>-0.31619999999999998</v>
      </c>
      <c r="H556">
        <v>520.6431</v>
      </c>
      <c r="I556">
        <v>0</v>
      </c>
    </row>
    <row r="557" spans="1:9" x14ac:dyDescent="0.35">
      <c r="A557" t="s">
        <v>15</v>
      </c>
      <c r="B557" t="s">
        <v>15</v>
      </c>
      <c r="C557" t="s">
        <v>15</v>
      </c>
      <c r="D557" t="s">
        <v>15</v>
      </c>
    </row>
    <row r="558" spans="1:9" x14ac:dyDescent="0.35">
      <c r="A558" t="s">
        <v>9</v>
      </c>
      <c r="B558" t="s">
        <v>161</v>
      </c>
      <c r="C558" t="s">
        <v>11</v>
      </c>
      <c r="D558" t="s">
        <v>142</v>
      </c>
      <c r="E558">
        <v>522.28700000000003</v>
      </c>
      <c r="F558">
        <v>19.344100000000001</v>
      </c>
      <c r="G558">
        <v>-0.31459999999999999</v>
      </c>
      <c r="H558">
        <v>521.73450000000003</v>
      </c>
      <c r="I558">
        <v>0</v>
      </c>
    </row>
    <row r="559" spans="1:9" x14ac:dyDescent="0.35">
      <c r="A559" t="s">
        <v>13</v>
      </c>
      <c r="B559" t="s">
        <v>161</v>
      </c>
      <c r="C559" t="s">
        <v>11</v>
      </c>
      <c r="D559" t="s">
        <v>142</v>
      </c>
      <c r="E559">
        <v>522.28700000000003</v>
      </c>
      <c r="F559">
        <v>19.344100000000001</v>
      </c>
      <c r="G559">
        <v>-0.31459999999999999</v>
      </c>
      <c r="H559">
        <v>521.73450000000003</v>
      </c>
      <c r="I559">
        <v>0</v>
      </c>
    </row>
    <row r="560" spans="1:9" x14ac:dyDescent="0.35">
      <c r="A560" t="s">
        <v>14</v>
      </c>
      <c r="B560" t="s">
        <v>161</v>
      </c>
      <c r="C560" t="s">
        <v>11</v>
      </c>
      <c r="D560" t="s">
        <v>142</v>
      </c>
      <c r="E560">
        <v>522.28700000000003</v>
      </c>
      <c r="F560">
        <v>19.344100000000001</v>
      </c>
      <c r="G560">
        <v>-0.31459999999999999</v>
      </c>
      <c r="H560">
        <v>521.73450000000003</v>
      </c>
      <c r="I560">
        <v>0</v>
      </c>
    </row>
    <row r="561" spans="1:9" x14ac:dyDescent="0.35">
      <c r="A561" t="s">
        <v>15</v>
      </c>
      <c r="B561" t="s">
        <v>15</v>
      </c>
      <c r="C561" t="s">
        <v>15</v>
      </c>
      <c r="D561" t="s">
        <v>15</v>
      </c>
    </row>
    <row r="562" spans="1:9" x14ac:dyDescent="0.35">
      <c r="A562" t="s">
        <v>9</v>
      </c>
      <c r="B562" t="s">
        <v>162</v>
      </c>
      <c r="C562" t="s">
        <v>11</v>
      </c>
      <c r="D562" t="s">
        <v>24</v>
      </c>
      <c r="E562">
        <v>530.82100000000003</v>
      </c>
      <c r="F562">
        <v>19.624199999999998</v>
      </c>
      <c r="G562">
        <v>-0.30270000000000002</v>
      </c>
      <c r="H562">
        <v>530.26390000000004</v>
      </c>
      <c r="I562">
        <v>0</v>
      </c>
    </row>
    <row r="563" spans="1:9" x14ac:dyDescent="0.35">
      <c r="A563" t="s">
        <v>13</v>
      </c>
      <c r="B563" t="s">
        <v>162</v>
      </c>
      <c r="C563" t="s">
        <v>11</v>
      </c>
      <c r="D563" t="s">
        <v>24</v>
      </c>
      <c r="E563">
        <v>530.82100000000003</v>
      </c>
      <c r="F563">
        <v>19.624199999999998</v>
      </c>
      <c r="G563">
        <v>-0.30270000000000002</v>
      </c>
      <c r="H563">
        <v>530.26390000000004</v>
      </c>
      <c r="I563">
        <v>0</v>
      </c>
    </row>
    <row r="564" spans="1:9" x14ac:dyDescent="0.35">
      <c r="A564" t="s">
        <v>14</v>
      </c>
      <c r="B564" t="s">
        <v>162</v>
      </c>
      <c r="C564" t="s">
        <v>11</v>
      </c>
      <c r="D564" t="s">
        <v>24</v>
      </c>
      <c r="E564">
        <v>530.82100000000003</v>
      </c>
      <c r="F564">
        <v>19.624199999999998</v>
      </c>
      <c r="G564">
        <v>-0.30270000000000002</v>
      </c>
      <c r="H564">
        <v>530.26390000000004</v>
      </c>
      <c r="I564">
        <v>0</v>
      </c>
    </row>
    <row r="565" spans="1:9" x14ac:dyDescent="0.35">
      <c r="A565" t="s">
        <v>15</v>
      </c>
      <c r="B565" t="s">
        <v>15</v>
      </c>
      <c r="C565" t="s">
        <v>15</v>
      </c>
      <c r="D565" t="s">
        <v>15</v>
      </c>
    </row>
    <row r="566" spans="1:9" x14ac:dyDescent="0.35">
      <c r="A566" t="s">
        <v>9</v>
      </c>
      <c r="B566" t="s">
        <v>163</v>
      </c>
      <c r="C566" t="s">
        <v>43</v>
      </c>
      <c r="D566" t="s">
        <v>164</v>
      </c>
      <c r="E566">
        <v>531.58299999999997</v>
      </c>
      <c r="F566">
        <v>19.6492</v>
      </c>
      <c r="G566">
        <v>-0.30159999999999998</v>
      </c>
      <c r="H566">
        <v>531.02549999999997</v>
      </c>
      <c r="I566">
        <v>0</v>
      </c>
    </row>
    <row r="567" spans="1:9" x14ac:dyDescent="0.35">
      <c r="A567" t="s">
        <v>13</v>
      </c>
      <c r="B567" t="s">
        <v>163</v>
      </c>
      <c r="C567" t="s">
        <v>43</v>
      </c>
      <c r="D567" t="s">
        <v>164</v>
      </c>
      <c r="E567">
        <v>533.10699999999997</v>
      </c>
      <c r="F567">
        <v>19.699200000000001</v>
      </c>
      <c r="G567">
        <v>-0.29949999999999999</v>
      </c>
      <c r="H567">
        <v>532.54864999999995</v>
      </c>
      <c r="I567">
        <v>0</v>
      </c>
    </row>
    <row r="568" spans="1:9" x14ac:dyDescent="0.35">
      <c r="A568" t="s">
        <v>14</v>
      </c>
      <c r="B568" t="s">
        <v>163</v>
      </c>
      <c r="C568" t="s">
        <v>43</v>
      </c>
      <c r="D568" t="s">
        <v>164</v>
      </c>
      <c r="E568">
        <v>534.63099999999997</v>
      </c>
      <c r="F568">
        <v>19.749199999999998</v>
      </c>
      <c r="G568">
        <v>-0.2974</v>
      </c>
      <c r="H568">
        <v>534.07180000000005</v>
      </c>
      <c r="I568">
        <v>0</v>
      </c>
    </row>
    <row r="569" spans="1:9" x14ac:dyDescent="0.35">
      <c r="A569" t="s">
        <v>15</v>
      </c>
      <c r="B569" t="s">
        <v>15</v>
      </c>
      <c r="C569" t="s">
        <v>15</v>
      </c>
      <c r="D569" t="s">
        <v>15</v>
      </c>
    </row>
    <row r="570" spans="1:9" x14ac:dyDescent="0.35">
      <c r="A570" t="s">
        <v>9</v>
      </c>
      <c r="B570" t="s">
        <v>165</v>
      </c>
      <c r="C570" t="s">
        <v>11</v>
      </c>
      <c r="D570" t="s">
        <v>12</v>
      </c>
      <c r="E570">
        <v>535.03700000000003</v>
      </c>
      <c r="F570">
        <v>19.762599999999999</v>
      </c>
      <c r="G570">
        <v>-0.29680000000000001</v>
      </c>
      <c r="H570">
        <v>534.47799999999995</v>
      </c>
      <c r="I570">
        <v>0</v>
      </c>
    </row>
    <row r="571" spans="1:9" x14ac:dyDescent="0.35">
      <c r="A571" t="s">
        <v>13</v>
      </c>
      <c r="B571" t="s">
        <v>165</v>
      </c>
      <c r="C571" t="s">
        <v>11</v>
      </c>
      <c r="D571" t="s">
        <v>12</v>
      </c>
      <c r="E571">
        <v>535.03700000000003</v>
      </c>
      <c r="F571">
        <v>19.762599999999999</v>
      </c>
      <c r="G571">
        <v>-0.29680000000000001</v>
      </c>
      <c r="H571">
        <v>534.47799999999995</v>
      </c>
      <c r="I571">
        <v>0</v>
      </c>
    </row>
    <row r="572" spans="1:9" x14ac:dyDescent="0.35">
      <c r="A572" t="s">
        <v>14</v>
      </c>
      <c r="B572" t="s">
        <v>165</v>
      </c>
      <c r="C572" t="s">
        <v>11</v>
      </c>
      <c r="D572" t="s">
        <v>12</v>
      </c>
      <c r="E572">
        <v>535.03700000000003</v>
      </c>
      <c r="F572">
        <v>19.762599999999999</v>
      </c>
      <c r="G572">
        <v>-0.29680000000000001</v>
      </c>
      <c r="H572">
        <v>534.47799999999995</v>
      </c>
      <c r="I572">
        <v>0</v>
      </c>
    </row>
    <row r="573" spans="1:9" x14ac:dyDescent="0.35">
      <c r="A573" t="s">
        <v>15</v>
      </c>
      <c r="B573" t="s">
        <v>15</v>
      </c>
      <c r="C573" t="s">
        <v>15</v>
      </c>
      <c r="D573" t="s">
        <v>15</v>
      </c>
    </row>
    <row r="574" spans="1:9" x14ac:dyDescent="0.35">
      <c r="A574" t="s">
        <v>9</v>
      </c>
      <c r="B574" t="s">
        <v>166</v>
      </c>
      <c r="C574" t="s">
        <v>11</v>
      </c>
      <c r="D574" t="s">
        <v>12</v>
      </c>
      <c r="E574">
        <v>535.03700000000003</v>
      </c>
      <c r="F574">
        <v>19.762599999999999</v>
      </c>
      <c r="G574">
        <v>-0.29680000000000001</v>
      </c>
      <c r="H574">
        <v>534.47799999999995</v>
      </c>
      <c r="I574">
        <v>0</v>
      </c>
    </row>
    <row r="575" spans="1:9" x14ac:dyDescent="0.35">
      <c r="A575" t="s">
        <v>13</v>
      </c>
      <c r="B575" t="s">
        <v>166</v>
      </c>
      <c r="C575" t="s">
        <v>11</v>
      </c>
      <c r="D575" t="s">
        <v>12</v>
      </c>
      <c r="E575">
        <v>535.03700000000003</v>
      </c>
      <c r="F575">
        <v>19.762599999999999</v>
      </c>
      <c r="G575">
        <v>-0.29680000000000001</v>
      </c>
      <c r="H575">
        <v>534.47799999999995</v>
      </c>
      <c r="I575">
        <v>0</v>
      </c>
    </row>
    <row r="576" spans="1:9" x14ac:dyDescent="0.35">
      <c r="A576" t="s">
        <v>14</v>
      </c>
      <c r="B576" t="s">
        <v>166</v>
      </c>
      <c r="C576" t="s">
        <v>11</v>
      </c>
      <c r="D576" t="s">
        <v>12</v>
      </c>
      <c r="E576">
        <v>535.03700000000003</v>
      </c>
      <c r="F576">
        <v>19.762599999999999</v>
      </c>
      <c r="G576">
        <v>-0.29680000000000001</v>
      </c>
      <c r="H576">
        <v>534.47799999999995</v>
      </c>
      <c r="I576">
        <v>0</v>
      </c>
    </row>
    <row r="577" spans="1:9" x14ac:dyDescent="0.35">
      <c r="A577" t="s">
        <v>15</v>
      </c>
      <c r="B577" t="s">
        <v>15</v>
      </c>
      <c r="C577" t="s">
        <v>15</v>
      </c>
      <c r="D577" t="s">
        <v>15</v>
      </c>
    </row>
    <row r="578" spans="1:9" x14ac:dyDescent="0.35">
      <c r="A578" t="s">
        <v>9</v>
      </c>
      <c r="B578" t="s">
        <v>167</v>
      </c>
      <c r="C578" t="s">
        <v>11</v>
      </c>
      <c r="D578" t="s">
        <v>142</v>
      </c>
      <c r="E578">
        <v>536.053</v>
      </c>
      <c r="F578">
        <v>19.7959</v>
      </c>
      <c r="G578">
        <v>-0.2954</v>
      </c>
      <c r="H578">
        <v>535.49350000000004</v>
      </c>
      <c r="I578">
        <v>0</v>
      </c>
    </row>
    <row r="579" spans="1:9" x14ac:dyDescent="0.35">
      <c r="A579" t="s">
        <v>13</v>
      </c>
      <c r="B579" t="s">
        <v>167</v>
      </c>
      <c r="C579" t="s">
        <v>11</v>
      </c>
      <c r="D579" t="s">
        <v>142</v>
      </c>
      <c r="E579">
        <v>536.053</v>
      </c>
      <c r="F579">
        <v>19.7959</v>
      </c>
      <c r="G579">
        <v>-0.2954</v>
      </c>
      <c r="H579">
        <v>535.49350000000004</v>
      </c>
      <c r="I579">
        <v>0</v>
      </c>
    </row>
    <row r="580" spans="1:9" x14ac:dyDescent="0.35">
      <c r="A580" t="s">
        <v>14</v>
      </c>
      <c r="B580" t="s">
        <v>167</v>
      </c>
      <c r="C580" t="s">
        <v>11</v>
      </c>
      <c r="D580" t="s">
        <v>142</v>
      </c>
      <c r="E580">
        <v>536.053</v>
      </c>
      <c r="F580">
        <v>19.7959</v>
      </c>
      <c r="G580">
        <v>-0.2954</v>
      </c>
      <c r="H580">
        <v>535.49350000000004</v>
      </c>
      <c r="I580">
        <v>0</v>
      </c>
    </row>
    <row r="581" spans="1:9" x14ac:dyDescent="0.35">
      <c r="A581" t="s">
        <v>15</v>
      </c>
      <c r="B581" t="s">
        <v>15</v>
      </c>
      <c r="C581" t="s">
        <v>15</v>
      </c>
      <c r="D581" t="s">
        <v>15</v>
      </c>
    </row>
    <row r="582" spans="1:9" x14ac:dyDescent="0.35">
      <c r="A582" t="s">
        <v>9</v>
      </c>
      <c r="B582" t="s">
        <v>168</v>
      </c>
      <c r="C582" t="s">
        <v>11</v>
      </c>
      <c r="D582" t="s">
        <v>24</v>
      </c>
      <c r="E582">
        <v>547.18299999999999</v>
      </c>
      <c r="F582">
        <v>20.161200000000001</v>
      </c>
      <c r="G582">
        <v>-0.27979999999999999</v>
      </c>
      <c r="H582">
        <v>546.61749999999995</v>
      </c>
      <c r="I582">
        <v>0</v>
      </c>
    </row>
    <row r="583" spans="1:9" x14ac:dyDescent="0.35">
      <c r="A583" t="s">
        <v>13</v>
      </c>
      <c r="B583" t="s">
        <v>168</v>
      </c>
      <c r="C583" t="s">
        <v>11</v>
      </c>
      <c r="D583" t="s">
        <v>24</v>
      </c>
      <c r="E583">
        <v>547.18299999999999</v>
      </c>
      <c r="F583">
        <v>20.161200000000001</v>
      </c>
      <c r="G583">
        <v>-0.27979999999999999</v>
      </c>
      <c r="H583">
        <v>546.61749999999995</v>
      </c>
      <c r="I583">
        <v>0</v>
      </c>
    </row>
    <row r="584" spans="1:9" x14ac:dyDescent="0.35">
      <c r="A584" t="s">
        <v>14</v>
      </c>
      <c r="B584" t="s">
        <v>168</v>
      </c>
      <c r="C584" t="s">
        <v>11</v>
      </c>
      <c r="D584" t="s">
        <v>24</v>
      </c>
      <c r="E584">
        <v>547.18299999999999</v>
      </c>
      <c r="F584">
        <v>20.161200000000001</v>
      </c>
      <c r="G584">
        <v>-0.27979999999999999</v>
      </c>
      <c r="H584">
        <v>546.61749999999995</v>
      </c>
      <c r="I584">
        <v>0</v>
      </c>
    </row>
    <row r="585" spans="1:9" x14ac:dyDescent="0.35">
      <c r="A585" t="s">
        <v>15</v>
      </c>
      <c r="B585" t="s">
        <v>15</v>
      </c>
      <c r="C585" t="s">
        <v>15</v>
      </c>
      <c r="D585" t="s">
        <v>15</v>
      </c>
    </row>
    <row r="586" spans="1:9" x14ac:dyDescent="0.35">
      <c r="A586" t="s">
        <v>9</v>
      </c>
      <c r="B586" t="s">
        <v>169</v>
      </c>
      <c r="C586" t="s">
        <v>11</v>
      </c>
      <c r="D586" t="s">
        <v>12</v>
      </c>
      <c r="E586">
        <v>559.37300000000005</v>
      </c>
      <c r="F586">
        <v>20.561199999999999</v>
      </c>
      <c r="G586">
        <v>-0.26279999999999998</v>
      </c>
      <c r="H586">
        <v>558.80089999999996</v>
      </c>
      <c r="I586">
        <v>0</v>
      </c>
    </row>
    <row r="587" spans="1:9" x14ac:dyDescent="0.35">
      <c r="A587" t="s">
        <v>13</v>
      </c>
      <c r="B587" t="s">
        <v>169</v>
      </c>
      <c r="C587" t="s">
        <v>11</v>
      </c>
      <c r="D587" t="s">
        <v>12</v>
      </c>
      <c r="E587">
        <v>559.37300000000005</v>
      </c>
      <c r="F587">
        <v>20.561199999999999</v>
      </c>
      <c r="G587">
        <v>-0.26279999999999998</v>
      </c>
      <c r="H587">
        <v>558.80089999999996</v>
      </c>
      <c r="I587">
        <v>0</v>
      </c>
    </row>
    <row r="588" spans="1:9" x14ac:dyDescent="0.35">
      <c r="A588" t="s">
        <v>14</v>
      </c>
      <c r="B588" t="s">
        <v>169</v>
      </c>
      <c r="C588" t="s">
        <v>11</v>
      </c>
      <c r="D588" t="s">
        <v>12</v>
      </c>
      <c r="E588">
        <v>559.37300000000005</v>
      </c>
      <c r="F588">
        <v>20.561199999999999</v>
      </c>
      <c r="G588">
        <v>-0.26279999999999998</v>
      </c>
      <c r="H588">
        <v>558.80089999999996</v>
      </c>
      <c r="I588">
        <v>0</v>
      </c>
    </row>
    <row r="589" spans="1:9" x14ac:dyDescent="0.35">
      <c r="A589" t="s">
        <v>15</v>
      </c>
      <c r="B589" t="s">
        <v>15</v>
      </c>
      <c r="C589" t="s">
        <v>15</v>
      </c>
      <c r="D589" t="s">
        <v>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0"/>
  <sheetViews>
    <sheetView workbookViewId="0">
      <selection activeCell="H1" sqref="H1"/>
    </sheetView>
  </sheetViews>
  <sheetFormatPr defaultRowHeight="14.5" x14ac:dyDescent="0.35"/>
  <cols>
    <col min="1" max="1" width="10.26953125" bestFit="1" customWidth="1"/>
    <col min="2" max="7" width="10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170</v>
      </c>
      <c r="B2" t="s">
        <v>171</v>
      </c>
      <c r="G2" t="s">
        <v>15</v>
      </c>
    </row>
    <row r="3" spans="1:7" x14ac:dyDescent="0.35">
      <c r="A3" t="s">
        <v>170</v>
      </c>
      <c r="B3" t="s">
        <v>171</v>
      </c>
      <c r="G3" t="s">
        <v>15</v>
      </c>
    </row>
    <row r="4" spans="1:7" x14ac:dyDescent="0.35">
      <c r="A4" t="s">
        <v>10</v>
      </c>
      <c r="B4" t="s">
        <v>11</v>
      </c>
      <c r="C4">
        <v>0</v>
      </c>
      <c r="D4">
        <v>0</v>
      </c>
      <c r="E4">
        <v>0</v>
      </c>
      <c r="F4">
        <v>0</v>
      </c>
      <c r="G4" t="s">
        <v>12</v>
      </c>
    </row>
    <row r="5" spans="1:7" x14ac:dyDescent="0.35">
      <c r="A5" t="s">
        <v>16</v>
      </c>
      <c r="B5" t="s">
        <v>11</v>
      </c>
      <c r="C5">
        <v>0</v>
      </c>
      <c r="D5">
        <v>0</v>
      </c>
      <c r="E5">
        <v>0</v>
      </c>
      <c r="F5">
        <v>0</v>
      </c>
      <c r="G5" t="s">
        <v>17</v>
      </c>
    </row>
    <row r="6" spans="1:7" x14ac:dyDescent="0.35">
      <c r="A6" t="s">
        <v>18</v>
      </c>
      <c r="B6" t="s">
        <v>11</v>
      </c>
      <c r="C6">
        <v>0</v>
      </c>
      <c r="D6">
        <v>0</v>
      </c>
      <c r="E6">
        <v>0</v>
      </c>
      <c r="F6">
        <v>0</v>
      </c>
      <c r="G6" t="s">
        <v>19</v>
      </c>
    </row>
    <row r="7" spans="1:7" x14ac:dyDescent="0.35">
      <c r="A7" t="s">
        <v>20</v>
      </c>
      <c r="B7" t="s">
        <v>11</v>
      </c>
      <c r="C7">
        <v>0</v>
      </c>
      <c r="D7">
        <v>0</v>
      </c>
      <c r="E7">
        <v>0</v>
      </c>
      <c r="F7">
        <v>0</v>
      </c>
      <c r="G7" t="s">
        <v>17</v>
      </c>
    </row>
    <row r="8" spans="1:7" x14ac:dyDescent="0.35">
      <c r="A8" t="s">
        <v>21</v>
      </c>
      <c r="B8" t="s">
        <v>11</v>
      </c>
      <c r="C8">
        <v>0</v>
      </c>
      <c r="D8">
        <v>0</v>
      </c>
      <c r="E8">
        <v>0</v>
      </c>
      <c r="F8">
        <v>0</v>
      </c>
      <c r="G8" t="s">
        <v>22</v>
      </c>
    </row>
    <row r="9" spans="1:7" x14ac:dyDescent="0.35">
      <c r="A9" t="s">
        <v>23</v>
      </c>
      <c r="B9" t="s">
        <v>11</v>
      </c>
      <c r="C9">
        <v>0</v>
      </c>
      <c r="D9">
        <v>0</v>
      </c>
      <c r="E9">
        <v>0</v>
      </c>
      <c r="F9">
        <v>0</v>
      </c>
      <c r="G9" t="s">
        <v>24</v>
      </c>
    </row>
    <row r="10" spans="1:7" x14ac:dyDescent="0.35">
      <c r="A10" t="s">
        <v>25</v>
      </c>
      <c r="B10" t="s">
        <v>11</v>
      </c>
      <c r="C10">
        <v>0</v>
      </c>
      <c r="D10">
        <v>0</v>
      </c>
      <c r="E10">
        <v>0</v>
      </c>
      <c r="F10">
        <v>0</v>
      </c>
      <c r="G10" t="s">
        <v>22</v>
      </c>
    </row>
    <row r="11" spans="1:7" x14ac:dyDescent="0.35">
      <c r="A11" t="s">
        <v>172</v>
      </c>
      <c r="B11" t="s">
        <v>27</v>
      </c>
      <c r="C11">
        <v>3.048</v>
      </c>
      <c r="D11">
        <v>-90</v>
      </c>
      <c r="E11">
        <v>0</v>
      </c>
      <c r="F11">
        <v>0</v>
      </c>
      <c r="G11" t="s">
        <v>28</v>
      </c>
    </row>
    <row r="12" spans="1:7" x14ac:dyDescent="0.35">
      <c r="A12" t="s">
        <v>173</v>
      </c>
      <c r="B12" t="s">
        <v>27</v>
      </c>
      <c r="C12">
        <v>3.048</v>
      </c>
      <c r="D12">
        <v>-90</v>
      </c>
      <c r="E12">
        <v>0</v>
      </c>
      <c r="F12">
        <v>0</v>
      </c>
      <c r="G12" t="s">
        <v>28</v>
      </c>
    </row>
    <row r="13" spans="1:7" x14ac:dyDescent="0.35">
      <c r="A13" t="s">
        <v>174</v>
      </c>
      <c r="B13" t="s">
        <v>27</v>
      </c>
      <c r="C13">
        <v>3.048</v>
      </c>
      <c r="D13">
        <v>-90</v>
      </c>
      <c r="E13">
        <v>0</v>
      </c>
      <c r="F13">
        <v>0</v>
      </c>
      <c r="G13" t="s">
        <v>28</v>
      </c>
    </row>
    <row r="14" spans="1:7" x14ac:dyDescent="0.35">
      <c r="A14" t="s">
        <v>175</v>
      </c>
      <c r="B14" t="s">
        <v>27</v>
      </c>
      <c r="C14">
        <v>3.048</v>
      </c>
      <c r="D14">
        <v>-90</v>
      </c>
      <c r="E14">
        <v>0</v>
      </c>
      <c r="F14">
        <v>0</v>
      </c>
      <c r="G14" t="s">
        <v>28</v>
      </c>
    </row>
    <row r="15" spans="1:7" x14ac:dyDescent="0.35">
      <c r="A15" t="s">
        <v>176</v>
      </c>
      <c r="B15" t="s">
        <v>27</v>
      </c>
      <c r="C15">
        <v>3.048</v>
      </c>
      <c r="D15">
        <v>-90</v>
      </c>
      <c r="E15">
        <v>0</v>
      </c>
      <c r="F15">
        <v>0</v>
      </c>
      <c r="G15" t="s">
        <v>28</v>
      </c>
    </row>
    <row r="16" spans="1:7" x14ac:dyDescent="0.35">
      <c r="A16" t="s">
        <v>33</v>
      </c>
      <c r="B16" t="s">
        <v>11</v>
      </c>
      <c r="C16">
        <v>0</v>
      </c>
      <c r="D16">
        <v>0</v>
      </c>
      <c r="E16">
        <v>0</v>
      </c>
      <c r="F16">
        <v>0</v>
      </c>
      <c r="G16" t="s">
        <v>19</v>
      </c>
    </row>
    <row r="17" spans="1:7" x14ac:dyDescent="0.35">
      <c r="A17" t="s">
        <v>34</v>
      </c>
      <c r="B17" t="s">
        <v>11</v>
      </c>
      <c r="C17">
        <v>0</v>
      </c>
      <c r="D17">
        <v>0</v>
      </c>
      <c r="E17">
        <v>0</v>
      </c>
      <c r="F17">
        <v>0</v>
      </c>
      <c r="G17" t="s">
        <v>35</v>
      </c>
    </row>
    <row r="18" spans="1:7" x14ac:dyDescent="0.35">
      <c r="A18" t="s">
        <v>177</v>
      </c>
      <c r="B18" t="s">
        <v>27</v>
      </c>
      <c r="C18">
        <v>3.048</v>
      </c>
      <c r="D18">
        <v>-90</v>
      </c>
      <c r="E18">
        <v>0</v>
      </c>
      <c r="F18">
        <v>0</v>
      </c>
      <c r="G18" t="s">
        <v>28</v>
      </c>
    </row>
    <row r="19" spans="1:7" x14ac:dyDescent="0.35">
      <c r="A19" t="s">
        <v>37</v>
      </c>
      <c r="B19" t="s">
        <v>11</v>
      </c>
      <c r="C19">
        <v>0</v>
      </c>
      <c r="D19">
        <v>0</v>
      </c>
      <c r="E19">
        <v>0</v>
      </c>
      <c r="F19">
        <v>0</v>
      </c>
      <c r="G19" t="s">
        <v>22</v>
      </c>
    </row>
    <row r="20" spans="1:7" x14ac:dyDescent="0.35">
      <c r="A20" t="s">
        <v>178</v>
      </c>
      <c r="B20" t="s">
        <v>27</v>
      </c>
      <c r="C20">
        <v>3.048</v>
      </c>
      <c r="D20">
        <v>-90</v>
      </c>
      <c r="E20">
        <v>0</v>
      </c>
      <c r="F20">
        <v>0</v>
      </c>
      <c r="G20" t="s">
        <v>28</v>
      </c>
    </row>
    <row r="21" spans="1:7" x14ac:dyDescent="0.35">
      <c r="A21" t="s">
        <v>39</v>
      </c>
      <c r="B21" t="s">
        <v>11</v>
      </c>
      <c r="C21">
        <v>0</v>
      </c>
      <c r="D21">
        <v>0</v>
      </c>
      <c r="E21">
        <v>0</v>
      </c>
      <c r="F21">
        <v>0</v>
      </c>
      <c r="G21" t="s">
        <v>24</v>
      </c>
    </row>
    <row r="22" spans="1:7" x14ac:dyDescent="0.35">
      <c r="A22" t="s">
        <v>40</v>
      </c>
      <c r="B22" t="s">
        <v>11</v>
      </c>
      <c r="C22">
        <v>0</v>
      </c>
      <c r="D22">
        <v>0</v>
      </c>
      <c r="E22">
        <v>0</v>
      </c>
      <c r="F22">
        <v>0</v>
      </c>
      <c r="G22" t="s">
        <v>22</v>
      </c>
    </row>
    <row r="23" spans="1:7" x14ac:dyDescent="0.35">
      <c r="A23" t="s">
        <v>41</v>
      </c>
      <c r="B23" t="s">
        <v>11</v>
      </c>
      <c r="C23">
        <v>0</v>
      </c>
      <c r="D23">
        <v>0</v>
      </c>
      <c r="E23">
        <v>0</v>
      </c>
      <c r="F23">
        <v>0</v>
      </c>
      <c r="G23" t="s">
        <v>22</v>
      </c>
    </row>
    <row r="24" spans="1:7" x14ac:dyDescent="0.35">
      <c r="A24" t="s">
        <v>42</v>
      </c>
      <c r="B24" t="s">
        <v>43</v>
      </c>
      <c r="C24">
        <v>3.048</v>
      </c>
      <c r="D24">
        <v>0</v>
      </c>
      <c r="E24">
        <v>0</v>
      </c>
      <c r="F24">
        <v>0</v>
      </c>
      <c r="G24" t="s">
        <v>44</v>
      </c>
    </row>
    <row r="25" spans="1:7" x14ac:dyDescent="0.35">
      <c r="A25" t="s">
        <v>45</v>
      </c>
      <c r="B25" t="s">
        <v>11</v>
      </c>
      <c r="C25">
        <v>0</v>
      </c>
      <c r="D25">
        <v>0</v>
      </c>
      <c r="E25">
        <v>0</v>
      </c>
      <c r="F25">
        <v>0</v>
      </c>
      <c r="G25" t="s">
        <v>22</v>
      </c>
    </row>
    <row r="26" spans="1:7" x14ac:dyDescent="0.35">
      <c r="A26" t="s">
        <v>179</v>
      </c>
      <c r="B26" t="s">
        <v>27</v>
      </c>
      <c r="C26">
        <v>3.048</v>
      </c>
      <c r="D26">
        <v>0</v>
      </c>
      <c r="E26">
        <v>0.61667000000000005</v>
      </c>
      <c r="F26">
        <v>0</v>
      </c>
      <c r="G26" t="s">
        <v>44</v>
      </c>
    </row>
    <row r="27" spans="1:7" x14ac:dyDescent="0.35">
      <c r="A27" t="s">
        <v>180</v>
      </c>
      <c r="B27" t="s">
        <v>27</v>
      </c>
      <c r="C27">
        <v>3.048</v>
      </c>
      <c r="D27">
        <v>0</v>
      </c>
      <c r="E27">
        <v>0.61667000000000005</v>
      </c>
      <c r="F27">
        <v>0</v>
      </c>
      <c r="G27" t="s">
        <v>44</v>
      </c>
    </row>
    <row r="28" spans="1:7" x14ac:dyDescent="0.35">
      <c r="A28" t="s">
        <v>181</v>
      </c>
      <c r="B28" t="s">
        <v>27</v>
      </c>
      <c r="C28">
        <v>3.048</v>
      </c>
      <c r="D28">
        <v>0</v>
      </c>
      <c r="E28">
        <v>0.61667000000000005</v>
      </c>
      <c r="F28">
        <v>0</v>
      </c>
      <c r="G28" t="s">
        <v>44</v>
      </c>
    </row>
    <row r="29" spans="1:7" x14ac:dyDescent="0.35">
      <c r="A29" t="s">
        <v>182</v>
      </c>
      <c r="B29" t="s">
        <v>27</v>
      </c>
      <c r="C29">
        <v>3.048</v>
      </c>
      <c r="D29">
        <v>0</v>
      </c>
      <c r="E29">
        <v>0.61667000000000005</v>
      </c>
      <c r="F29">
        <v>0</v>
      </c>
      <c r="G29" t="s">
        <v>44</v>
      </c>
    </row>
    <row r="30" spans="1:7" x14ac:dyDescent="0.35">
      <c r="A30" t="s">
        <v>183</v>
      </c>
      <c r="B30" t="s">
        <v>27</v>
      </c>
      <c r="C30">
        <v>3.048</v>
      </c>
      <c r="D30">
        <v>0</v>
      </c>
      <c r="E30">
        <v>0.61667000000000005</v>
      </c>
      <c r="F30">
        <v>0</v>
      </c>
      <c r="G30" t="s">
        <v>44</v>
      </c>
    </row>
    <row r="31" spans="1:7" x14ac:dyDescent="0.35">
      <c r="A31" t="s">
        <v>184</v>
      </c>
      <c r="B31" t="s">
        <v>27</v>
      </c>
      <c r="C31">
        <v>3.048</v>
      </c>
      <c r="D31">
        <v>0</v>
      </c>
      <c r="E31">
        <v>0.61667000000000005</v>
      </c>
      <c r="F31">
        <v>0</v>
      </c>
      <c r="G31" t="s">
        <v>44</v>
      </c>
    </row>
    <row r="32" spans="1:7" x14ac:dyDescent="0.35">
      <c r="A32" t="s">
        <v>52</v>
      </c>
      <c r="B32" t="s">
        <v>11</v>
      </c>
      <c r="C32">
        <v>0</v>
      </c>
      <c r="D32">
        <v>0</v>
      </c>
      <c r="E32">
        <v>0</v>
      </c>
      <c r="F32">
        <v>0</v>
      </c>
      <c r="G32" t="s">
        <v>22</v>
      </c>
    </row>
    <row r="33" spans="1:7" x14ac:dyDescent="0.35">
      <c r="A33" t="s">
        <v>53</v>
      </c>
      <c r="B33" t="s">
        <v>11</v>
      </c>
      <c r="C33">
        <v>0</v>
      </c>
      <c r="D33">
        <v>0</v>
      </c>
      <c r="E33">
        <v>0</v>
      </c>
      <c r="F33">
        <v>0</v>
      </c>
      <c r="G33" t="s">
        <v>35</v>
      </c>
    </row>
    <row r="34" spans="1:7" x14ac:dyDescent="0.35">
      <c r="A34" t="s">
        <v>54</v>
      </c>
      <c r="B34" t="s">
        <v>11</v>
      </c>
      <c r="C34">
        <v>0</v>
      </c>
      <c r="D34">
        <v>0</v>
      </c>
      <c r="E34">
        <v>0</v>
      </c>
      <c r="F34">
        <v>0</v>
      </c>
      <c r="G34" t="s">
        <v>19</v>
      </c>
    </row>
    <row r="35" spans="1:7" x14ac:dyDescent="0.35">
      <c r="A35" t="s">
        <v>55</v>
      </c>
      <c r="B35" t="s">
        <v>11</v>
      </c>
      <c r="C35">
        <v>0</v>
      </c>
      <c r="D35">
        <v>0</v>
      </c>
      <c r="E35">
        <v>0</v>
      </c>
      <c r="F35">
        <v>0</v>
      </c>
      <c r="G35" t="s">
        <v>56</v>
      </c>
    </row>
    <row r="36" spans="1:7" x14ac:dyDescent="0.35">
      <c r="A36" t="s">
        <v>57</v>
      </c>
      <c r="B36" t="s">
        <v>11</v>
      </c>
      <c r="C36">
        <v>0</v>
      </c>
      <c r="D36">
        <v>0</v>
      </c>
      <c r="E36">
        <v>0</v>
      </c>
      <c r="F36">
        <v>0</v>
      </c>
      <c r="G36" t="s">
        <v>58</v>
      </c>
    </row>
    <row r="37" spans="1:7" x14ac:dyDescent="0.35">
      <c r="A37" t="s">
        <v>55</v>
      </c>
      <c r="B37" t="s">
        <v>11</v>
      </c>
      <c r="C37">
        <v>0</v>
      </c>
      <c r="D37">
        <v>0</v>
      </c>
      <c r="E37">
        <v>0</v>
      </c>
      <c r="F37">
        <v>0</v>
      </c>
      <c r="G37" t="s">
        <v>56</v>
      </c>
    </row>
    <row r="38" spans="1:7" x14ac:dyDescent="0.35">
      <c r="A38" t="s">
        <v>59</v>
      </c>
      <c r="B38" t="s">
        <v>11</v>
      </c>
      <c r="C38">
        <v>0</v>
      </c>
      <c r="D38">
        <v>0</v>
      </c>
      <c r="E38">
        <v>0</v>
      </c>
      <c r="F38">
        <v>0</v>
      </c>
      <c r="G38" t="s">
        <v>24</v>
      </c>
    </row>
    <row r="39" spans="1:7" x14ac:dyDescent="0.35">
      <c r="A39" t="s">
        <v>60</v>
      </c>
      <c r="B39" t="s">
        <v>11</v>
      </c>
      <c r="C39">
        <v>0</v>
      </c>
      <c r="D39">
        <v>0</v>
      </c>
      <c r="E39">
        <v>0</v>
      </c>
      <c r="F39">
        <v>0</v>
      </c>
      <c r="G39" t="s">
        <v>22</v>
      </c>
    </row>
    <row r="40" spans="1:7" x14ac:dyDescent="0.35">
      <c r="A40" t="s">
        <v>55</v>
      </c>
      <c r="B40" t="s">
        <v>11</v>
      </c>
      <c r="C40">
        <v>0</v>
      </c>
      <c r="D40">
        <v>0</v>
      </c>
      <c r="E40">
        <v>0</v>
      </c>
      <c r="F40">
        <v>0</v>
      </c>
      <c r="G40" t="s">
        <v>56</v>
      </c>
    </row>
    <row r="41" spans="1:7" x14ac:dyDescent="0.35">
      <c r="A41" t="s">
        <v>61</v>
      </c>
      <c r="B41" t="s">
        <v>43</v>
      </c>
      <c r="C41">
        <v>0.25390000000000001</v>
      </c>
      <c r="D41">
        <v>0</v>
      </c>
      <c r="E41">
        <v>0</v>
      </c>
      <c r="F41">
        <v>0</v>
      </c>
      <c r="G41" t="s">
        <v>62</v>
      </c>
    </row>
    <row r="42" spans="1:7" x14ac:dyDescent="0.35">
      <c r="A42" t="s">
        <v>55</v>
      </c>
      <c r="B42" t="s">
        <v>11</v>
      </c>
      <c r="C42">
        <v>0</v>
      </c>
      <c r="D42">
        <v>0</v>
      </c>
      <c r="E42">
        <v>0</v>
      </c>
      <c r="F42">
        <v>0</v>
      </c>
      <c r="G42" t="s">
        <v>56</v>
      </c>
    </row>
    <row r="43" spans="1:7" x14ac:dyDescent="0.35">
      <c r="A43" t="s">
        <v>63</v>
      </c>
      <c r="B43" t="s">
        <v>11</v>
      </c>
      <c r="C43">
        <v>0</v>
      </c>
      <c r="D43">
        <v>0</v>
      </c>
      <c r="E43">
        <v>0</v>
      </c>
      <c r="F43">
        <v>0</v>
      </c>
      <c r="G43" t="s">
        <v>12</v>
      </c>
    </row>
    <row r="44" spans="1:7" x14ac:dyDescent="0.35">
      <c r="A44" t="s">
        <v>64</v>
      </c>
      <c r="B44" t="s">
        <v>11</v>
      </c>
      <c r="C44">
        <v>0</v>
      </c>
      <c r="D44">
        <v>0</v>
      </c>
      <c r="E44">
        <v>0</v>
      </c>
      <c r="F44">
        <v>0</v>
      </c>
      <c r="G44" t="s">
        <v>19</v>
      </c>
    </row>
    <row r="45" spans="1:7" x14ac:dyDescent="0.35">
      <c r="A45" t="s">
        <v>65</v>
      </c>
      <c r="B45" t="s">
        <v>66</v>
      </c>
      <c r="C45">
        <v>3.048</v>
      </c>
      <c r="D45">
        <v>0</v>
      </c>
      <c r="E45">
        <v>0</v>
      </c>
      <c r="F45">
        <v>0</v>
      </c>
      <c r="G45" t="s">
        <v>67</v>
      </c>
    </row>
    <row r="46" spans="1:7" x14ac:dyDescent="0.35">
      <c r="A46" t="s">
        <v>68</v>
      </c>
      <c r="B46" t="s">
        <v>66</v>
      </c>
      <c r="C46">
        <v>3.048</v>
      </c>
      <c r="D46">
        <v>0</v>
      </c>
      <c r="E46">
        <v>0</v>
      </c>
      <c r="F46">
        <v>0</v>
      </c>
      <c r="G46" t="s">
        <v>67</v>
      </c>
    </row>
    <row r="47" spans="1:7" x14ac:dyDescent="0.35">
      <c r="A47" t="s">
        <v>185</v>
      </c>
      <c r="B47" t="s">
        <v>27</v>
      </c>
      <c r="C47">
        <v>3.048</v>
      </c>
      <c r="D47">
        <v>-1.5</v>
      </c>
      <c r="E47">
        <v>-7.9107200000000004</v>
      </c>
      <c r="F47">
        <v>0</v>
      </c>
      <c r="G47" t="s">
        <v>70</v>
      </c>
    </row>
    <row r="48" spans="1:7" x14ac:dyDescent="0.35">
      <c r="A48" t="s">
        <v>186</v>
      </c>
      <c r="B48" t="s">
        <v>27</v>
      </c>
      <c r="C48">
        <v>3.048</v>
      </c>
      <c r="D48">
        <v>-1.5</v>
      </c>
      <c r="E48">
        <v>-7.9107200000000004</v>
      </c>
      <c r="F48">
        <v>0</v>
      </c>
      <c r="G48" t="s">
        <v>70</v>
      </c>
    </row>
    <row r="49" spans="1:7" x14ac:dyDescent="0.35">
      <c r="A49" t="s">
        <v>187</v>
      </c>
      <c r="B49" t="s">
        <v>27</v>
      </c>
      <c r="C49">
        <v>3.048</v>
      </c>
      <c r="D49">
        <v>-16.803000000000001</v>
      </c>
      <c r="E49">
        <v>-5.0145600000000004</v>
      </c>
      <c r="F49">
        <v>0</v>
      </c>
      <c r="G49" t="s">
        <v>73</v>
      </c>
    </row>
    <row r="50" spans="1:7" x14ac:dyDescent="0.35">
      <c r="A50" t="s">
        <v>188</v>
      </c>
      <c r="B50" t="s">
        <v>27</v>
      </c>
      <c r="C50">
        <v>3.048</v>
      </c>
      <c r="D50">
        <v>-16.803000000000001</v>
      </c>
      <c r="E50">
        <v>-5.0145600000000004</v>
      </c>
      <c r="F50">
        <v>0</v>
      </c>
      <c r="G50" t="s">
        <v>73</v>
      </c>
    </row>
    <row r="51" spans="1:7" x14ac:dyDescent="0.35">
      <c r="A51" t="s">
        <v>189</v>
      </c>
      <c r="B51" t="s">
        <v>27</v>
      </c>
      <c r="C51">
        <v>3.048</v>
      </c>
      <c r="D51">
        <v>-16.803000000000001</v>
      </c>
      <c r="E51">
        <v>-5.0145600000000004</v>
      </c>
      <c r="F51">
        <v>0</v>
      </c>
      <c r="G51" t="s">
        <v>73</v>
      </c>
    </row>
    <row r="52" spans="1:7" x14ac:dyDescent="0.35">
      <c r="A52" t="s">
        <v>76</v>
      </c>
      <c r="B52" t="s">
        <v>27</v>
      </c>
      <c r="C52">
        <v>0.76200000000000001</v>
      </c>
      <c r="D52">
        <v>-90</v>
      </c>
      <c r="E52">
        <v>0</v>
      </c>
      <c r="F52">
        <v>0</v>
      </c>
      <c r="G52" t="s">
        <v>77</v>
      </c>
    </row>
    <row r="53" spans="1:7" x14ac:dyDescent="0.35">
      <c r="A53" t="s">
        <v>78</v>
      </c>
      <c r="B53" t="s">
        <v>11</v>
      </c>
      <c r="C53">
        <v>0</v>
      </c>
      <c r="D53">
        <v>0</v>
      </c>
      <c r="E53">
        <v>0</v>
      </c>
      <c r="F53">
        <v>0</v>
      </c>
      <c r="G53" t="s">
        <v>19</v>
      </c>
    </row>
    <row r="54" spans="1:7" x14ac:dyDescent="0.35">
      <c r="A54" t="s">
        <v>79</v>
      </c>
      <c r="B54" t="s">
        <v>11</v>
      </c>
      <c r="C54">
        <v>0</v>
      </c>
      <c r="D54">
        <v>0</v>
      </c>
      <c r="E54">
        <v>0</v>
      </c>
      <c r="F54">
        <v>0</v>
      </c>
      <c r="G54" t="s">
        <v>24</v>
      </c>
    </row>
    <row r="55" spans="1:7" x14ac:dyDescent="0.35">
      <c r="A55" t="s">
        <v>80</v>
      </c>
      <c r="B55" t="s">
        <v>11</v>
      </c>
      <c r="C55">
        <v>0</v>
      </c>
      <c r="D55">
        <v>0</v>
      </c>
      <c r="E55">
        <v>0</v>
      </c>
      <c r="F55">
        <v>0</v>
      </c>
      <c r="G55" t="s">
        <v>17</v>
      </c>
    </row>
    <row r="56" spans="1:7" x14ac:dyDescent="0.35">
      <c r="A56" t="s">
        <v>190</v>
      </c>
      <c r="B56" t="s">
        <v>27</v>
      </c>
      <c r="C56">
        <v>3.048</v>
      </c>
      <c r="D56">
        <v>5.931</v>
      </c>
      <c r="E56">
        <v>-5.7255599999999998</v>
      </c>
      <c r="F56">
        <v>0</v>
      </c>
      <c r="G56" t="s">
        <v>70</v>
      </c>
    </row>
    <row r="57" spans="1:7" x14ac:dyDescent="0.35">
      <c r="A57" t="s">
        <v>191</v>
      </c>
      <c r="B57" t="s">
        <v>27</v>
      </c>
      <c r="C57">
        <v>3.048</v>
      </c>
      <c r="D57">
        <v>5.931</v>
      </c>
      <c r="E57">
        <v>-5.7255599999999998</v>
      </c>
      <c r="F57">
        <v>0</v>
      </c>
      <c r="G57" t="s">
        <v>70</v>
      </c>
    </row>
    <row r="58" spans="1:7" x14ac:dyDescent="0.35">
      <c r="A58" t="s">
        <v>192</v>
      </c>
      <c r="B58" t="s">
        <v>27</v>
      </c>
      <c r="C58">
        <v>3.048</v>
      </c>
      <c r="D58">
        <v>5.931</v>
      </c>
      <c r="E58">
        <v>-5.7255599999999998</v>
      </c>
      <c r="F58">
        <v>0</v>
      </c>
      <c r="G58" t="s">
        <v>70</v>
      </c>
    </row>
    <row r="59" spans="1:7" x14ac:dyDescent="0.35">
      <c r="A59" t="s">
        <v>193</v>
      </c>
      <c r="B59" t="s">
        <v>27</v>
      </c>
      <c r="C59">
        <v>3.048</v>
      </c>
      <c r="D59">
        <v>5.931</v>
      </c>
      <c r="E59">
        <v>-5.7255599999999998</v>
      </c>
      <c r="F59">
        <v>0</v>
      </c>
      <c r="G59" t="s">
        <v>70</v>
      </c>
    </row>
    <row r="60" spans="1:7" x14ac:dyDescent="0.35">
      <c r="A60" t="s">
        <v>194</v>
      </c>
      <c r="B60" t="s">
        <v>27</v>
      </c>
      <c r="C60">
        <v>3.048</v>
      </c>
      <c r="D60">
        <v>5.931</v>
      </c>
      <c r="E60">
        <v>-5.7255599999999998</v>
      </c>
      <c r="F60">
        <v>0</v>
      </c>
      <c r="G60" t="s">
        <v>70</v>
      </c>
    </row>
    <row r="61" spans="1:7" x14ac:dyDescent="0.35">
      <c r="A61" t="s">
        <v>86</v>
      </c>
      <c r="B61" t="s">
        <v>11</v>
      </c>
      <c r="C61">
        <v>0</v>
      </c>
      <c r="D61">
        <v>0</v>
      </c>
      <c r="E61">
        <v>0</v>
      </c>
      <c r="F61">
        <v>0</v>
      </c>
      <c r="G61" t="s">
        <v>35</v>
      </c>
    </row>
    <row r="62" spans="1:7" x14ac:dyDescent="0.35">
      <c r="A62" t="s">
        <v>87</v>
      </c>
      <c r="B62" t="s">
        <v>11</v>
      </c>
      <c r="C62">
        <v>0</v>
      </c>
      <c r="D62">
        <v>0</v>
      </c>
      <c r="E62">
        <v>0</v>
      </c>
      <c r="F62">
        <v>0</v>
      </c>
      <c r="G62" t="s">
        <v>19</v>
      </c>
    </row>
    <row r="63" spans="1:7" x14ac:dyDescent="0.35">
      <c r="A63" t="s">
        <v>88</v>
      </c>
      <c r="B63" t="s">
        <v>11</v>
      </c>
      <c r="C63">
        <v>0</v>
      </c>
      <c r="D63">
        <v>0</v>
      </c>
      <c r="E63">
        <v>0</v>
      </c>
      <c r="F63">
        <v>0</v>
      </c>
      <c r="G63" t="s">
        <v>17</v>
      </c>
    </row>
    <row r="64" spans="1:7" x14ac:dyDescent="0.35">
      <c r="A64" t="s">
        <v>89</v>
      </c>
      <c r="B64" t="s">
        <v>11</v>
      </c>
      <c r="C64">
        <v>0</v>
      </c>
      <c r="D64">
        <v>0</v>
      </c>
      <c r="E64">
        <v>0</v>
      </c>
      <c r="F64">
        <v>0</v>
      </c>
      <c r="G64" t="s">
        <v>17</v>
      </c>
    </row>
    <row r="65" spans="1:7" x14ac:dyDescent="0.35">
      <c r="A65" t="s">
        <v>90</v>
      </c>
      <c r="B65" t="s">
        <v>11</v>
      </c>
      <c r="C65">
        <v>0</v>
      </c>
      <c r="D65">
        <v>0</v>
      </c>
      <c r="E65">
        <v>0</v>
      </c>
      <c r="F65">
        <v>0</v>
      </c>
      <c r="G65" t="s">
        <v>19</v>
      </c>
    </row>
    <row r="66" spans="1:7" x14ac:dyDescent="0.35">
      <c r="A66" t="s">
        <v>91</v>
      </c>
      <c r="B66" t="s">
        <v>11</v>
      </c>
      <c r="C66">
        <v>0</v>
      </c>
      <c r="D66">
        <v>0</v>
      </c>
      <c r="E66">
        <v>0</v>
      </c>
      <c r="F66">
        <v>0</v>
      </c>
      <c r="G66" t="s">
        <v>12</v>
      </c>
    </row>
    <row r="67" spans="1:7" x14ac:dyDescent="0.35">
      <c r="A67" t="s">
        <v>92</v>
      </c>
      <c r="B67" t="s">
        <v>11</v>
      </c>
      <c r="C67">
        <v>0</v>
      </c>
      <c r="D67">
        <v>0</v>
      </c>
      <c r="E67">
        <v>0</v>
      </c>
      <c r="F67">
        <v>0</v>
      </c>
      <c r="G67" t="s">
        <v>12</v>
      </c>
    </row>
    <row r="68" spans="1:7" x14ac:dyDescent="0.35">
      <c r="A68" t="s">
        <v>93</v>
      </c>
      <c r="B68" t="s">
        <v>11</v>
      </c>
      <c r="C68">
        <v>0</v>
      </c>
      <c r="D68">
        <v>0</v>
      </c>
      <c r="E68">
        <v>0</v>
      </c>
      <c r="F68">
        <v>0</v>
      </c>
      <c r="G68" t="s">
        <v>17</v>
      </c>
    </row>
    <row r="69" spans="1:7" x14ac:dyDescent="0.35">
      <c r="A69" t="s">
        <v>195</v>
      </c>
      <c r="B69" t="s">
        <v>66</v>
      </c>
      <c r="C69">
        <v>3.048</v>
      </c>
      <c r="D69">
        <v>0</v>
      </c>
      <c r="E69">
        <v>0</v>
      </c>
      <c r="F69">
        <v>0</v>
      </c>
      <c r="G69" t="s">
        <v>95</v>
      </c>
    </row>
    <row r="70" spans="1:7" x14ac:dyDescent="0.35">
      <c r="A70" t="s">
        <v>55</v>
      </c>
      <c r="B70" t="s">
        <v>11</v>
      </c>
      <c r="C70">
        <v>0</v>
      </c>
      <c r="D70">
        <v>0</v>
      </c>
      <c r="E70">
        <v>0</v>
      </c>
      <c r="F70">
        <v>0</v>
      </c>
      <c r="G70" t="s">
        <v>56</v>
      </c>
    </row>
    <row r="71" spans="1:7" x14ac:dyDescent="0.35">
      <c r="A71" t="s">
        <v>55</v>
      </c>
      <c r="B71" t="s">
        <v>11</v>
      </c>
      <c r="C71">
        <v>0</v>
      </c>
      <c r="D71">
        <v>0</v>
      </c>
      <c r="E71">
        <v>0</v>
      </c>
      <c r="F71">
        <v>0</v>
      </c>
      <c r="G71" t="s">
        <v>56</v>
      </c>
    </row>
    <row r="72" spans="1:7" x14ac:dyDescent="0.35">
      <c r="A72" t="s">
        <v>96</v>
      </c>
      <c r="B72" t="s">
        <v>11</v>
      </c>
      <c r="C72">
        <v>0</v>
      </c>
      <c r="D72">
        <v>0</v>
      </c>
      <c r="E72">
        <v>0</v>
      </c>
      <c r="F72">
        <v>0</v>
      </c>
      <c r="G72" t="s">
        <v>24</v>
      </c>
    </row>
    <row r="73" spans="1:7" x14ac:dyDescent="0.35">
      <c r="A73" t="s">
        <v>196</v>
      </c>
      <c r="B73" t="s">
        <v>66</v>
      </c>
      <c r="C73">
        <v>3.048</v>
      </c>
      <c r="D73">
        <v>0</v>
      </c>
      <c r="E73">
        <v>0</v>
      </c>
      <c r="F73">
        <v>0</v>
      </c>
      <c r="G73" t="s">
        <v>95</v>
      </c>
    </row>
    <row r="74" spans="1:7" x14ac:dyDescent="0.35">
      <c r="A74" t="s">
        <v>98</v>
      </c>
      <c r="B74" t="s">
        <v>11</v>
      </c>
      <c r="C74">
        <v>0</v>
      </c>
      <c r="D74">
        <v>0</v>
      </c>
      <c r="E74">
        <v>0</v>
      </c>
      <c r="F74">
        <v>0</v>
      </c>
      <c r="G74" t="s">
        <v>19</v>
      </c>
    </row>
    <row r="75" spans="1:7" x14ac:dyDescent="0.35">
      <c r="A75" t="s">
        <v>99</v>
      </c>
      <c r="B75" t="s">
        <v>100</v>
      </c>
      <c r="C75">
        <v>0.76200000000000001</v>
      </c>
      <c r="D75">
        <v>0</v>
      </c>
      <c r="E75">
        <v>0</v>
      </c>
      <c r="F75">
        <v>0</v>
      </c>
      <c r="G75" t="s">
        <v>101</v>
      </c>
    </row>
    <row r="76" spans="1:7" x14ac:dyDescent="0.35">
      <c r="A76" t="s">
        <v>55</v>
      </c>
      <c r="B76" t="s">
        <v>11</v>
      </c>
      <c r="C76">
        <v>0</v>
      </c>
      <c r="D76">
        <v>0</v>
      </c>
      <c r="E76">
        <v>0</v>
      </c>
      <c r="F76">
        <v>0</v>
      </c>
      <c r="G76" t="s">
        <v>56</v>
      </c>
    </row>
    <row r="77" spans="1:7" x14ac:dyDescent="0.35">
      <c r="A77" t="s">
        <v>55</v>
      </c>
      <c r="B77" t="s">
        <v>11</v>
      </c>
      <c r="C77">
        <v>0</v>
      </c>
      <c r="D77">
        <v>0</v>
      </c>
      <c r="E77">
        <v>0</v>
      </c>
      <c r="F77">
        <v>0</v>
      </c>
      <c r="G77" t="s">
        <v>56</v>
      </c>
    </row>
    <row r="78" spans="1:7" x14ac:dyDescent="0.35">
      <c r="A78" t="s">
        <v>102</v>
      </c>
      <c r="B78" t="s">
        <v>11</v>
      </c>
      <c r="C78">
        <v>0</v>
      </c>
      <c r="D78">
        <v>0</v>
      </c>
      <c r="E78">
        <v>0</v>
      </c>
      <c r="F78">
        <v>0</v>
      </c>
      <c r="G78" t="s">
        <v>17</v>
      </c>
    </row>
    <row r="79" spans="1:7" x14ac:dyDescent="0.35">
      <c r="A79" t="s">
        <v>103</v>
      </c>
      <c r="B79" t="s">
        <v>11</v>
      </c>
      <c r="C79">
        <v>0</v>
      </c>
      <c r="D79">
        <v>0</v>
      </c>
      <c r="E79">
        <v>0</v>
      </c>
      <c r="F79">
        <v>0</v>
      </c>
      <c r="G79" t="s">
        <v>12</v>
      </c>
    </row>
    <row r="80" spans="1:7" x14ac:dyDescent="0.35">
      <c r="A80" t="s">
        <v>104</v>
      </c>
      <c r="B80" t="s">
        <v>11</v>
      </c>
      <c r="C80">
        <v>0</v>
      </c>
      <c r="D80">
        <v>0</v>
      </c>
      <c r="E80">
        <v>0</v>
      </c>
      <c r="F80">
        <v>0</v>
      </c>
      <c r="G80" t="s">
        <v>19</v>
      </c>
    </row>
    <row r="81" spans="1:7" x14ac:dyDescent="0.35">
      <c r="A81" t="s">
        <v>105</v>
      </c>
      <c r="B81" t="s">
        <v>11</v>
      </c>
      <c r="C81">
        <v>0</v>
      </c>
      <c r="D81">
        <v>0</v>
      </c>
      <c r="E81">
        <v>0</v>
      </c>
      <c r="F81">
        <v>0</v>
      </c>
      <c r="G81" t="s">
        <v>17</v>
      </c>
    </row>
    <row r="82" spans="1:7" x14ac:dyDescent="0.35">
      <c r="A82" t="s">
        <v>106</v>
      </c>
      <c r="B82" t="s">
        <v>11</v>
      </c>
      <c r="C82">
        <v>0</v>
      </c>
      <c r="D82">
        <v>0</v>
      </c>
      <c r="E82">
        <v>0</v>
      </c>
      <c r="F82">
        <v>0</v>
      </c>
      <c r="G82" t="s">
        <v>17</v>
      </c>
    </row>
    <row r="83" spans="1:7" x14ac:dyDescent="0.35">
      <c r="A83" t="s">
        <v>107</v>
      </c>
      <c r="B83" t="s">
        <v>11</v>
      </c>
      <c r="C83">
        <v>0</v>
      </c>
      <c r="D83">
        <v>0</v>
      </c>
      <c r="E83">
        <v>0</v>
      </c>
      <c r="F83">
        <v>0</v>
      </c>
      <c r="G83" t="s">
        <v>19</v>
      </c>
    </row>
    <row r="84" spans="1:7" x14ac:dyDescent="0.35">
      <c r="A84" t="s">
        <v>108</v>
      </c>
      <c r="B84" t="s">
        <v>11</v>
      </c>
      <c r="C84">
        <v>0</v>
      </c>
      <c r="D84">
        <v>0</v>
      </c>
      <c r="E84">
        <v>0</v>
      </c>
      <c r="F84">
        <v>0</v>
      </c>
      <c r="G84" t="s">
        <v>12</v>
      </c>
    </row>
    <row r="85" spans="1:7" x14ac:dyDescent="0.35">
      <c r="A85" t="s">
        <v>109</v>
      </c>
      <c r="B85" t="s">
        <v>11</v>
      </c>
      <c r="C85">
        <v>0</v>
      </c>
      <c r="D85">
        <v>0</v>
      </c>
      <c r="E85">
        <v>0</v>
      </c>
      <c r="F85">
        <v>0</v>
      </c>
      <c r="G85" t="s">
        <v>17</v>
      </c>
    </row>
    <row r="86" spans="1:7" x14ac:dyDescent="0.35">
      <c r="A86" t="s">
        <v>110</v>
      </c>
      <c r="B86" t="s">
        <v>11</v>
      </c>
      <c r="C86">
        <v>0</v>
      </c>
      <c r="D86">
        <v>0</v>
      </c>
      <c r="E86">
        <v>0</v>
      </c>
      <c r="F86">
        <v>0</v>
      </c>
      <c r="G86" t="s">
        <v>19</v>
      </c>
    </row>
    <row r="87" spans="1:7" x14ac:dyDescent="0.35">
      <c r="A87" t="s">
        <v>55</v>
      </c>
      <c r="B87" t="s">
        <v>11</v>
      </c>
      <c r="C87">
        <v>0</v>
      </c>
      <c r="D87">
        <v>0</v>
      </c>
      <c r="E87">
        <v>0</v>
      </c>
      <c r="F87">
        <v>0</v>
      </c>
      <c r="G87" t="s">
        <v>56</v>
      </c>
    </row>
    <row r="88" spans="1:7" x14ac:dyDescent="0.35">
      <c r="A88" t="s">
        <v>111</v>
      </c>
      <c r="B88" t="s">
        <v>11</v>
      </c>
      <c r="C88">
        <v>0</v>
      </c>
      <c r="D88">
        <v>0</v>
      </c>
      <c r="E88">
        <v>0</v>
      </c>
      <c r="F88">
        <v>0</v>
      </c>
      <c r="G88" t="s">
        <v>24</v>
      </c>
    </row>
    <row r="89" spans="1:7" x14ac:dyDescent="0.35">
      <c r="A89" t="s">
        <v>55</v>
      </c>
      <c r="B89" t="s">
        <v>11</v>
      </c>
      <c r="C89">
        <v>0</v>
      </c>
      <c r="D89">
        <v>0</v>
      </c>
      <c r="E89">
        <v>0</v>
      </c>
      <c r="F89">
        <v>0</v>
      </c>
      <c r="G89" t="s">
        <v>56</v>
      </c>
    </row>
    <row r="90" spans="1:7" x14ac:dyDescent="0.35">
      <c r="A90" t="s">
        <v>112</v>
      </c>
      <c r="B90" t="s">
        <v>43</v>
      </c>
      <c r="C90">
        <v>3.048</v>
      </c>
      <c r="D90">
        <v>0</v>
      </c>
      <c r="E90">
        <v>0</v>
      </c>
      <c r="F90">
        <v>0</v>
      </c>
      <c r="G90" t="s">
        <v>70</v>
      </c>
    </row>
    <row r="91" spans="1:7" x14ac:dyDescent="0.35">
      <c r="A91" t="s">
        <v>113</v>
      </c>
      <c r="B91" t="s">
        <v>66</v>
      </c>
      <c r="C91">
        <v>3.048</v>
      </c>
      <c r="D91">
        <v>0</v>
      </c>
      <c r="E91">
        <v>0</v>
      </c>
      <c r="F91">
        <v>0</v>
      </c>
      <c r="G91" t="s">
        <v>95</v>
      </c>
    </row>
    <row r="92" spans="1:7" x14ac:dyDescent="0.35">
      <c r="A92" t="s">
        <v>114</v>
      </c>
      <c r="B92" t="s">
        <v>66</v>
      </c>
      <c r="C92">
        <v>3.048</v>
      </c>
      <c r="D92">
        <v>0</v>
      </c>
      <c r="E92">
        <v>0</v>
      </c>
      <c r="F92">
        <v>0</v>
      </c>
      <c r="G92" t="s">
        <v>95</v>
      </c>
    </row>
    <row r="93" spans="1:7" x14ac:dyDescent="0.35">
      <c r="A93" t="s">
        <v>55</v>
      </c>
      <c r="B93" t="s">
        <v>11</v>
      </c>
      <c r="C93">
        <v>0</v>
      </c>
      <c r="D93">
        <v>0</v>
      </c>
      <c r="E93">
        <v>0</v>
      </c>
      <c r="F93">
        <v>0</v>
      </c>
      <c r="G93" t="s">
        <v>56</v>
      </c>
    </row>
    <row r="94" spans="1:7" x14ac:dyDescent="0.35">
      <c r="A94" t="s">
        <v>55</v>
      </c>
      <c r="B94" t="s">
        <v>11</v>
      </c>
      <c r="C94">
        <v>0</v>
      </c>
      <c r="D94">
        <v>0</v>
      </c>
      <c r="E94">
        <v>0</v>
      </c>
      <c r="F94">
        <v>0</v>
      </c>
      <c r="G94" t="s">
        <v>56</v>
      </c>
    </row>
    <row r="95" spans="1:7" x14ac:dyDescent="0.35">
      <c r="A95" t="s">
        <v>197</v>
      </c>
      <c r="B95" t="s">
        <v>27</v>
      </c>
      <c r="C95">
        <v>3.048</v>
      </c>
      <c r="D95">
        <v>0</v>
      </c>
      <c r="E95">
        <v>-6.34</v>
      </c>
      <c r="F95">
        <v>0</v>
      </c>
      <c r="G95" t="s">
        <v>70</v>
      </c>
    </row>
    <row r="96" spans="1:7" x14ac:dyDescent="0.35">
      <c r="A96" t="s">
        <v>198</v>
      </c>
      <c r="B96" t="s">
        <v>27</v>
      </c>
      <c r="C96">
        <v>3.048</v>
      </c>
      <c r="D96">
        <v>-90</v>
      </c>
      <c r="E96">
        <v>1.60151</v>
      </c>
      <c r="F96">
        <v>0</v>
      </c>
      <c r="G96" t="s">
        <v>117</v>
      </c>
    </row>
    <row r="97" spans="1:7" x14ac:dyDescent="0.35">
      <c r="A97" t="s">
        <v>199</v>
      </c>
      <c r="B97" t="s">
        <v>27</v>
      </c>
      <c r="C97">
        <v>3.048</v>
      </c>
      <c r="D97">
        <v>-90</v>
      </c>
      <c r="E97">
        <v>1.60151</v>
      </c>
      <c r="F97">
        <v>0</v>
      </c>
      <c r="G97" t="s">
        <v>117</v>
      </c>
    </row>
    <row r="98" spans="1:7" x14ac:dyDescent="0.35">
      <c r="A98" t="s">
        <v>55</v>
      </c>
      <c r="B98" t="s">
        <v>11</v>
      </c>
      <c r="C98">
        <v>0</v>
      </c>
      <c r="D98">
        <v>0</v>
      </c>
      <c r="E98">
        <v>0</v>
      </c>
      <c r="F98">
        <v>0</v>
      </c>
      <c r="G98" t="s">
        <v>56</v>
      </c>
    </row>
    <row r="99" spans="1:7" x14ac:dyDescent="0.35">
      <c r="A99" t="s">
        <v>119</v>
      </c>
      <c r="B99" t="s">
        <v>11</v>
      </c>
      <c r="C99">
        <v>0</v>
      </c>
      <c r="D99">
        <v>0</v>
      </c>
      <c r="E99">
        <v>0</v>
      </c>
      <c r="F99">
        <v>0</v>
      </c>
      <c r="G99" t="s">
        <v>24</v>
      </c>
    </row>
    <row r="100" spans="1:7" x14ac:dyDescent="0.35">
      <c r="A100" t="s">
        <v>120</v>
      </c>
      <c r="B100" t="s">
        <v>43</v>
      </c>
      <c r="C100">
        <v>0.12064</v>
      </c>
      <c r="D100">
        <v>0</v>
      </c>
      <c r="E100">
        <v>0</v>
      </c>
      <c r="F100">
        <v>0</v>
      </c>
      <c r="G100" t="s">
        <v>121</v>
      </c>
    </row>
    <row r="101" spans="1:7" x14ac:dyDescent="0.35">
      <c r="A101" t="s">
        <v>122</v>
      </c>
      <c r="B101" t="s">
        <v>43</v>
      </c>
      <c r="C101">
        <v>0.30480000000000002</v>
      </c>
      <c r="D101">
        <v>0</v>
      </c>
      <c r="E101">
        <v>0</v>
      </c>
      <c r="F101">
        <v>0</v>
      </c>
      <c r="G101" t="s">
        <v>62</v>
      </c>
    </row>
    <row r="102" spans="1:7" x14ac:dyDescent="0.35">
      <c r="A102" t="s">
        <v>123</v>
      </c>
      <c r="B102" t="s">
        <v>11</v>
      </c>
      <c r="C102">
        <v>0</v>
      </c>
      <c r="D102">
        <v>0</v>
      </c>
      <c r="E102">
        <v>0</v>
      </c>
      <c r="F102">
        <v>0</v>
      </c>
      <c r="G102" t="s">
        <v>56</v>
      </c>
    </row>
    <row r="103" spans="1:7" x14ac:dyDescent="0.35">
      <c r="A103" t="s">
        <v>200</v>
      </c>
      <c r="B103" t="s">
        <v>66</v>
      </c>
      <c r="C103">
        <v>3.048</v>
      </c>
      <c r="D103">
        <v>0</v>
      </c>
      <c r="E103">
        <v>0</v>
      </c>
      <c r="F103">
        <v>0</v>
      </c>
      <c r="G103" t="s">
        <v>67</v>
      </c>
    </row>
    <row r="104" spans="1:7" x14ac:dyDescent="0.35">
      <c r="A104" t="s">
        <v>201</v>
      </c>
      <c r="B104" t="s">
        <v>27</v>
      </c>
      <c r="C104">
        <v>3.048</v>
      </c>
      <c r="D104">
        <v>0</v>
      </c>
      <c r="E104">
        <v>-7.9995000000000003</v>
      </c>
      <c r="F104">
        <v>0</v>
      </c>
      <c r="G104" t="s">
        <v>70</v>
      </c>
    </row>
    <row r="105" spans="1:7" x14ac:dyDescent="0.35">
      <c r="A105" t="s">
        <v>202</v>
      </c>
      <c r="B105" t="s">
        <v>66</v>
      </c>
      <c r="C105">
        <v>3.048</v>
      </c>
      <c r="D105">
        <v>0</v>
      </c>
      <c r="E105">
        <v>0</v>
      </c>
      <c r="F105">
        <v>0</v>
      </c>
      <c r="G105" t="s">
        <v>67</v>
      </c>
    </row>
    <row r="106" spans="1:7" x14ac:dyDescent="0.35">
      <c r="A106" t="s">
        <v>203</v>
      </c>
      <c r="B106" t="s">
        <v>27</v>
      </c>
      <c r="C106">
        <v>3.048</v>
      </c>
      <c r="D106">
        <v>0</v>
      </c>
      <c r="E106">
        <v>-7.9995000000000003</v>
      </c>
      <c r="F106">
        <v>0</v>
      </c>
      <c r="G106" t="s">
        <v>70</v>
      </c>
    </row>
    <row r="107" spans="1:7" x14ac:dyDescent="0.35">
      <c r="A107" t="s">
        <v>204</v>
      </c>
      <c r="B107" t="s">
        <v>66</v>
      </c>
      <c r="C107">
        <v>3.048</v>
      </c>
      <c r="D107">
        <v>0</v>
      </c>
      <c r="E107">
        <v>0</v>
      </c>
      <c r="F107">
        <v>0</v>
      </c>
      <c r="G107" t="s">
        <v>67</v>
      </c>
    </row>
    <row r="108" spans="1:7" x14ac:dyDescent="0.35">
      <c r="A108" t="s">
        <v>129</v>
      </c>
      <c r="B108" t="s">
        <v>100</v>
      </c>
      <c r="C108">
        <v>0.76200000000000001</v>
      </c>
      <c r="D108">
        <v>0</v>
      </c>
      <c r="E108">
        <v>0</v>
      </c>
      <c r="F108">
        <v>0</v>
      </c>
      <c r="G108" t="s">
        <v>77</v>
      </c>
    </row>
    <row r="109" spans="1:7" x14ac:dyDescent="0.35">
      <c r="A109" t="s">
        <v>130</v>
      </c>
      <c r="B109" t="s">
        <v>11</v>
      </c>
      <c r="C109">
        <v>0</v>
      </c>
      <c r="D109">
        <v>0</v>
      </c>
      <c r="E109">
        <v>0</v>
      </c>
      <c r="F109">
        <v>0</v>
      </c>
      <c r="G109" t="s">
        <v>24</v>
      </c>
    </row>
    <row r="110" spans="1:7" x14ac:dyDescent="0.35">
      <c r="A110" t="s">
        <v>131</v>
      </c>
      <c r="B110" t="s">
        <v>11</v>
      </c>
      <c r="C110">
        <v>0</v>
      </c>
      <c r="D110">
        <v>0</v>
      </c>
      <c r="E110">
        <v>0</v>
      </c>
      <c r="F110">
        <v>0</v>
      </c>
      <c r="G110" t="s">
        <v>62</v>
      </c>
    </row>
    <row r="111" spans="1:7" x14ac:dyDescent="0.35">
      <c r="A111" t="s">
        <v>132</v>
      </c>
      <c r="B111" t="s">
        <v>11</v>
      </c>
      <c r="C111">
        <v>0</v>
      </c>
      <c r="D111">
        <v>0</v>
      </c>
      <c r="E111">
        <v>0</v>
      </c>
      <c r="F111">
        <v>0</v>
      </c>
      <c r="G111" t="s">
        <v>35</v>
      </c>
    </row>
    <row r="112" spans="1:7" x14ac:dyDescent="0.35">
      <c r="A112" t="s">
        <v>133</v>
      </c>
      <c r="B112" t="s">
        <v>11</v>
      </c>
      <c r="C112">
        <v>0</v>
      </c>
      <c r="D112">
        <v>0</v>
      </c>
      <c r="E112">
        <v>0</v>
      </c>
      <c r="F112">
        <v>0</v>
      </c>
      <c r="G112" t="s">
        <v>19</v>
      </c>
    </row>
    <row r="113" spans="1:7" x14ac:dyDescent="0.35">
      <c r="A113" t="s">
        <v>134</v>
      </c>
      <c r="B113" t="s">
        <v>11</v>
      </c>
      <c r="C113">
        <v>0</v>
      </c>
      <c r="D113">
        <v>0</v>
      </c>
      <c r="E113">
        <v>0</v>
      </c>
      <c r="F113">
        <v>0</v>
      </c>
      <c r="G113" t="s">
        <v>19</v>
      </c>
    </row>
    <row r="114" spans="1:7" x14ac:dyDescent="0.35">
      <c r="A114" t="s">
        <v>135</v>
      </c>
      <c r="B114" t="s">
        <v>136</v>
      </c>
      <c r="C114">
        <v>0.76200000000000001</v>
      </c>
      <c r="D114">
        <v>0</v>
      </c>
      <c r="E114">
        <v>0</v>
      </c>
      <c r="F114">
        <v>0</v>
      </c>
      <c r="G114" t="s">
        <v>77</v>
      </c>
    </row>
    <row r="115" spans="1:7" x14ac:dyDescent="0.35">
      <c r="A115" t="s">
        <v>137</v>
      </c>
      <c r="B115" t="s">
        <v>66</v>
      </c>
      <c r="C115">
        <v>3.048</v>
      </c>
      <c r="D115">
        <v>0</v>
      </c>
      <c r="E115">
        <v>0</v>
      </c>
      <c r="F115">
        <v>0</v>
      </c>
      <c r="G115" t="s">
        <v>67</v>
      </c>
    </row>
    <row r="116" spans="1:7" x14ac:dyDescent="0.35">
      <c r="A116" t="s">
        <v>138</v>
      </c>
      <c r="B116" t="s">
        <v>66</v>
      </c>
      <c r="C116">
        <v>3.048</v>
      </c>
      <c r="D116">
        <v>0</v>
      </c>
      <c r="E116">
        <v>0</v>
      </c>
      <c r="F116">
        <v>0</v>
      </c>
      <c r="G116" t="s">
        <v>67</v>
      </c>
    </row>
    <row r="117" spans="1:7" x14ac:dyDescent="0.35">
      <c r="A117" t="s">
        <v>139</v>
      </c>
      <c r="B117" t="s">
        <v>66</v>
      </c>
      <c r="C117">
        <v>3.048</v>
      </c>
      <c r="D117">
        <v>0</v>
      </c>
      <c r="E117">
        <v>0</v>
      </c>
      <c r="F117">
        <v>0</v>
      </c>
      <c r="G117" t="s">
        <v>67</v>
      </c>
    </row>
    <row r="118" spans="1:7" x14ac:dyDescent="0.35">
      <c r="A118" t="s">
        <v>140</v>
      </c>
      <c r="B118" t="s">
        <v>11</v>
      </c>
      <c r="C118">
        <v>0</v>
      </c>
      <c r="D118">
        <v>0</v>
      </c>
      <c r="E118">
        <v>0</v>
      </c>
      <c r="F118">
        <v>0</v>
      </c>
      <c r="G118" t="s">
        <v>24</v>
      </c>
    </row>
    <row r="119" spans="1:7" x14ac:dyDescent="0.35">
      <c r="A119" t="s">
        <v>55</v>
      </c>
      <c r="B119" t="s">
        <v>11</v>
      </c>
      <c r="C119">
        <v>0</v>
      </c>
      <c r="D119">
        <v>0</v>
      </c>
      <c r="E119">
        <v>0</v>
      </c>
      <c r="F119">
        <v>0</v>
      </c>
      <c r="G119" t="s">
        <v>56</v>
      </c>
    </row>
    <row r="120" spans="1:7" x14ac:dyDescent="0.35">
      <c r="A120" t="s">
        <v>141</v>
      </c>
      <c r="B120" t="s">
        <v>43</v>
      </c>
      <c r="C120">
        <v>0.10159</v>
      </c>
      <c r="D120">
        <v>0</v>
      </c>
      <c r="E120">
        <v>0</v>
      </c>
      <c r="F120">
        <v>0</v>
      </c>
      <c r="G120" t="s">
        <v>142</v>
      </c>
    </row>
    <row r="121" spans="1:7" x14ac:dyDescent="0.35">
      <c r="A121" t="s">
        <v>55</v>
      </c>
      <c r="B121" t="s">
        <v>11</v>
      </c>
      <c r="C121">
        <v>0</v>
      </c>
      <c r="D121">
        <v>0</v>
      </c>
      <c r="E121">
        <v>0</v>
      </c>
      <c r="F121">
        <v>0</v>
      </c>
      <c r="G121" t="s">
        <v>56</v>
      </c>
    </row>
    <row r="122" spans="1:7" x14ac:dyDescent="0.35">
      <c r="A122" t="s">
        <v>143</v>
      </c>
      <c r="B122" t="s">
        <v>100</v>
      </c>
      <c r="C122">
        <v>0.76200000000000001</v>
      </c>
      <c r="D122">
        <v>0</v>
      </c>
      <c r="E122">
        <v>0</v>
      </c>
      <c r="F122">
        <v>0</v>
      </c>
      <c r="G122" t="s">
        <v>77</v>
      </c>
    </row>
    <row r="123" spans="1:7" x14ac:dyDescent="0.35">
      <c r="A123" t="s">
        <v>205</v>
      </c>
      <c r="B123" t="s">
        <v>27</v>
      </c>
      <c r="C123">
        <v>3.048</v>
      </c>
      <c r="D123">
        <v>0</v>
      </c>
      <c r="E123">
        <v>8.9015000000000004</v>
      </c>
      <c r="F123">
        <v>0</v>
      </c>
      <c r="G123" t="s">
        <v>70</v>
      </c>
    </row>
    <row r="124" spans="1:7" x14ac:dyDescent="0.35">
      <c r="A124" t="s">
        <v>206</v>
      </c>
      <c r="B124" t="s">
        <v>27</v>
      </c>
      <c r="C124">
        <v>3.048</v>
      </c>
      <c r="D124">
        <v>0</v>
      </c>
      <c r="E124">
        <v>8.9015000000000004</v>
      </c>
      <c r="F124">
        <v>0</v>
      </c>
      <c r="G124" t="s">
        <v>146</v>
      </c>
    </row>
    <row r="125" spans="1:7" x14ac:dyDescent="0.35">
      <c r="A125" t="s">
        <v>207</v>
      </c>
      <c r="B125" t="s">
        <v>27</v>
      </c>
      <c r="C125">
        <v>3.048</v>
      </c>
      <c r="D125">
        <v>0</v>
      </c>
      <c r="E125">
        <v>8.9015000000000004</v>
      </c>
      <c r="F125">
        <v>0</v>
      </c>
      <c r="G125" t="s">
        <v>70</v>
      </c>
    </row>
    <row r="126" spans="1:7" x14ac:dyDescent="0.35">
      <c r="A126" t="s">
        <v>208</v>
      </c>
      <c r="B126" t="s">
        <v>27</v>
      </c>
      <c r="C126">
        <v>3.048</v>
      </c>
      <c r="D126">
        <v>0</v>
      </c>
      <c r="E126">
        <v>8.9015000000000004</v>
      </c>
      <c r="F126">
        <v>0</v>
      </c>
      <c r="G126" t="s">
        <v>70</v>
      </c>
    </row>
    <row r="127" spans="1:7" x14ac:dyDescent="0.35">
      <c r="A127" t="s">
        <v>209</v>
      </c>
      <c r="B127" t="s">
        <v>27</v>
      </c>
      <c r="C127">
        <v>3.048</v>
      </c>
      <c r="D127">
        <v>0</v>
      </c>
      <c r="E127">
        <v>8.9015000000000004</v>
      </c>
      <c r="F127">
        <v>0</v>
      </c>
      <c r="G127" t="s">
        <v>70</v>
      </c>
    </row>
    <row r="128" spans="1:7" x14ac:dyDescent="0.35">
      <c r="A128" t="s">
        <v>150</v>
      </c>
      <c r="B128" t="s">
        <v>11</v>
      </c>
      <c r="C128">
        <v>0</v>
      </c>
      <c r="D128">
        <v>0</v>
      </c>
      <c r="E128">
        <v>0</v>
      </c>
      <c r="F128">
        <v>0</v>
      </c>
      <c r="G128" t="s">
        <v>12</v>
      </c>
    </row>
    <row r="129" spans="1:7" x14ac:dyDescent="0.35">
      <c r="A129" t="s">
        <v>151</v>
      </c>
      <c r="B129" t="s">
        <v>11</v>
      </c>
      <c r="C129">
        <v>0</v>
      </c>
      <c r="D129">
        <v>0</v>
      </c>
      <c r="E129">
        <v>0</v>
      </c>
      <c r="F129">
        <v>0</v>
      </c>
      <c r="G129" t="s">
        <v>12</v>
      </c>
    </row>
    <row r="130" spans="1:7" x14ac:dyDescent="0.35">
      <c r="A130" t="s">
        <v>210</v>
      </c>
      <c r="B130" t="s">
        <v>66</v>
      </c>
      <c r="C130">
        <v>3.048</v>
      </c>
      <c r="D130">
        <v>90</v>
      </c>
      <c r="E130">
        <v>0</v>
      </c>
      <c r="F130">
        <v>6.3299999999999995E-2</v>
      </c>
      <c r="G130" t="s">
        <v>67</v>
      </c>
    </row>
    <row r="131" spans="1:7" x14ac:dyDescent="0.35">
      <c r="A131" t="s">
        <v>211</v>
      </c>
      <c r="B131" t="s">
        <v>66</v>
      </c>
      <c r="C131">
        <v>3.048</v>
      </c>
      <c r="D131">
        <v>0</v>
      </c>
      <c r="E131">
        <v>0</v>
      </c>
      <c r="F131">
        <v>6.7400000000000002E-2</v>
      </c>
      <c r="G131" t="s">
        <v>67</v>
      </c>
    </row>
    <row r="132" spans="1:7" x14ac:dyDescent="0.35">
      <c r="A132" t="s">
        <v>154</v>
      </c>
      <c r="B132" t="s">
        <v>100</v>
      </c>
      <c r="C132">
        <v>0.76200000000000001</v>
      </c>
      <c r="D132">
        <v>0</v>
      </c>
      <c r="E132">
        <v>0</v>
      </c>
      <c r="F132">
        <v>0</v>
      </c>
      <c r="G132" t="s">
        <v>77</v>
      </c>
    </row>
    <row r="133" spans="1:7" x14ac:dyDescent="0.35">
      <c r="A133" t="s">
        <v>155</v>
      </c>
      <c r="B133" t="s">
        <v>136</v>
      </c>
      <c r="C133">
        <v>0.76200000000000001</v>
      </c>
      <c r="D133">
        <v>0</v>
      </c>
      <c r="E133">
        <v>0</v>
      </c>
      <c r="F133">
        <v>0</v>
      </c>
      <c r="G133" t="s">
        <v>77</v>
      </c>
    </row>
    <row r="134" spans="1:7" x14ac:dyDescent="0.35">
      <c r="A134" t="s">
        <v>156</v>
      </c>
      <c r="B134" t="s">
        <v>11</v>
      </c>
      <c r="C134">
        <v>0</v>
      </c>
      <c r="D134">
        <v>0</v>
      </c>
      <c r="E134">
        <v>0</v>
      </c>
      <c r="F134">
        <v>0</v>
      </c>
      <c r="G134" t="s">
        <v>24</v>
      </c>
    </row>
    <row r="135" spans="1:7" x14ac:dyDescent="0.35">
      <c r="A135" t="s">
        <v>55</v>
      </c>
      <c r="B135" t="s">
        <v>11</v>
      </c>
      <c r="C135">
        <v>0</v>
      </c>
      <c r="D135">
        <v>0</v>
      </c>
      <c r="E135">
        <v>0</v>
      </c>
      <c r="F135">
        <v>0</v>
      </c>
      <c r="G135" t="s">
        <v>56</v>
      </c>
    </row>
    <row r="136" spans="1:7" x14ac:dyDescent="0.35">
      <c r="A136" t="s">
        <v>55</v>
      </c>
      <c r="B136" t="s">
        <v>11</v>
      </c>
      <c r="C136">
        <v>0</v>
      </c>
      <c r="D136">
        <v>0</v>
      </c>
      <c r="E136">
        <v>0</v>
      </c>
      <c r="F136">
        <v>0</v>
      </c>
      <c r="G136" t="s">
        <v>56</v>
      </c>
    </row>
    <row r="137" spans="1:7" x14ac:dyDescent="0.35">
      <c r="A137" t="s">
        <v>157</v>
      </c>
      <c r="B137" t="s">
        <v>11</v>
      </c>
      <c r="C137">
        <v>0</v>
      </c>
      <c r="D137">
        <v>0</v>
      </c>
      <c r="E137">
        <v>0</v>
      </c>
      <c r="F137">
        <v>0</v>
      </c>
      <c r="G137" t="s">
        <v>12</v>
      </c>
    </row>
    <row r="138" spans="1:7" x14ac:dyDescent="0.35">
      <c r="A138" t="s">
        <v>158</v>
      </c>
      <c r="B138" t="s">
        <v>11</v>
      </c>
      <c r="C138">
        <v>0</v>
      </c>
      <c r="D138">
        <v>0</v>
      </c>
      <c r="E138">
        <v>0</v>
      </c>
      <c r="F138">
        <v>0</v>
      </c>
      <c r="G138" t="s">
        <v>12</v>
      </c>
    </row>
    <row r="139" spans="1:7" x14ac:dyDescent="0.35">
      <c r="A139" t="s">
        <v>55</v>
      </c>
      <c r="B139" t="s">
        <v>11</v>
      </c>
      <c r="C139">
        <v>0</v>
      </c>
      <c r="D139">
        <v>0</v>
      </c>
      <c r="E139">
        <v>0</v>
      </c>
      <c r="F139">
        <v>0</v>
      </c>
      <c r="G139" t="s">
        <v>56</v>
      </c>
    </row>
    <row r="140" spans="1:7" x14ac:dyDescent="0.35">
      <c r="A140" t="s">
        <v>159</v>
      </c>
      <c r="B140" t="s">
        <v>11</v>
      </c>
      <c r="C140">
        <v>0</v>
      </c>
      <c r="D140">
        <v>0</v>
      </c>
      <c r="E140">
        <v>0</v>
      </c>
      <c r="F140">
        <v>0</v>
      </c>
      <c r="G140" t="s">
        <v>142</v>
      </c>
    </row>
    <row r="141" spans="1:7" x14ac:dyDescent="0.35">
      <c r="A141" t="s">
        <v>160</v>
      </c>
      <c r="B141" t="s">
        <v>11</v>
      </c>
      <c r="C141">
        <v>0</v>
      </c>
      <c r="D141">
        <v>0</v>
      </c>
      <c r="E141">
        <v>0</v>
      </c>
      <c r="F141">
        <v>0</v>
      </c>
      <c r="G141" t="s">
        <v>24</v>
      </c>
    </row>
    <row r="142" spans="1:7" x14ac:dyDescent="0.35">
      <c r="A142" t="s">
        <v>55</v>
      </c>
      <c r="B142" t="s">
        <v>11</v>
      </c>
      <c r="C142">
        <v>0</v>
      </c>
      <c r="D142">
        <v>0</v>
      </c>
      <c r="E142">
        <v>0</v>
      </c>
      <c r="F142">
        <v>0</v>
      </c>
      <c r="G142" t="s">
        <v>56</v>
      </c>
    </row>
    <row r="143" spans="1:7" x14ac:dyDescent="0.35">
      <c r="A143" t="s">
        <v>161</v>
      </c>
      <c r="B143" t="s">
        <v>11</v>
      </c>
      <c r="C143">
        <v>0</v>
      </c>
      <c r="D143">
        <v>0</v>
      </c>
      <c r="E143">
        <v>0</v>
      </c>
      <c r="F143">
        <v>0</v>
      </c>
      <c r="G143" t="s">
        <v>142</v>
      </c>
    </row>
    <row r="144" spans="1:7" x14ac:dyDescent="0.35">
      <c r="A144" t="s">
        <v>162</v>
      </c>
      <c r="B144" t="s">
        <v>11</v>
      </c>
      <c r="C144">
        <v>0</v>
      </c>
      <c r="D144">
        <v>0</v>
      </c>
      <c r="E144">
        <v>0</v>
      </c>
      <c r="F144">
        <v>0</v>
      </c>
      <c r="G144" t="s">
        <v>24</v>
      </c>
    </row>
    <row r="145" spans="1:7" x14ac:dyDescent="0.35">
      <c r="A145" t="s">
        <v>163</v>
      </c>
      <c r="B145" t="s">
        <v>43</v>
      </c>
      <c r="C145">
        <v>3.048</v>
      </c>
      <c r="D145">
        <v>0</v>
      </c>
      <c r="E145">
        <v>0</v>
      </c>
      <c r="F145">
        <v>0</v>
      </c>
      <c r="G145" t="s">
        <v>164</v>
      </c>
    </row>
    <row r="146" spans="1:7" x14ac:dyDescent="0.35">
      <c r="A146" t="s">
        <v>165</v>
      </c>
      <c r="B146" t="s">
        <v>11</v>
      </c>
      <c r="C146">
        <v>0</v>
      </c>
      <c r="D146">
        <v>0</v>
      </c>
      <c r="E146">
        <v>0</v>
      </c>
      <c r="F146">
        <v>0</v>
      </c>
      <c r="G146" t="s">
        <v>12</v>
      </c>
    </row>
    <row r="147" spans="1:7" x14ac:dyDescent="0.35">
      <c r="A147" t="s">
        <v>166</v>
      </c>
      <c r="B147" t="s">
        <v>11</v>
      </c>
      <c r="C147">
        <v>0</v>
      </c>
      <c r="D147">
        <v>0</v>
      </c>
      <c r="E147">
        <v>0</v>
      </c>
      <c r="F147">
        <v>0</v>
      </c>
      <c r="G147" t="s">
        <v>12</v>
      </c>
    </row>
    <row r="148" spans="1:7" x14ac:dyDescent="0.35">
      <c r="A148" t="s">
        <v>167</v>
      </c>
      <c r="B148" t="s">
        <v>11</v>
      </c>
      <c r="C148">
        <v>0</v>
      </c>
      <c r="D148">
        <v>0</v>
      </c>
      <c r="E148">
        <v>0</v>
      </c>
      <c r="F148">
        <v>0</v>
      </c>
      <c r="G148" t="s">
        <v>142</v>
      </c>
    </row>
    <row r="149" spans="1:7" x14ac:dyDescent="0.35">
      <c r="A149" t="s">
        <v>168</v>
      </c>
      <c r="B149" t="s">
        <v>11</v>
      </c>
      <c r="C149">
        <v>0</v>
      </c>
      <c r="D149">
        <v>0</v>
      </c>
      <c r="E149">
        <v>0</v>
      </c>
      <c r="F149">
        <v>0</v>
      </c>
      <c r="G149" t="s">
        <v>24</v>
      </c>
    </row>
    <row r="150" spans="1:7" x14ac:dyDescent="0.35">
      <c r="A150" t="s">
        <v>169</v>
      </c>
      <c r="B150" t="s">
        <v>11</v>
      </c>
      <c r="C150">
        <v>0</v>
      </c>
      <c r="D150">
        <v>0</v>
      </c>
      <c r="E150">
        <v>0</v>
      </c>
      <c r="F150">
        <v>0</v>
      </c>
      <c r="G150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F5A3B4-DA05-4A84-A311-88E1F28618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Constants</vt:lpstr>
      <vt:lpstr>Geometry</vt:lpstr>
      <vt:lpstr>Magnets - Fields</vt:lpstr>
      <vt:lpstr>Magnets - Currents</vt:lpstr>
      <vt:lpstr>Magnets - SN</vt:lpstr>
      <vt:lpstr>Vacuum</vt:lpstr>
      <vt:lpstr>Power Supplies</vt:lpstr>
      <vt:lpstr>Instrumentation</vt:lpstr>
      <vt:lpstr>bsheet</vt:lpstr>
      <vt:lpstr>isheet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K. Olander x4429 15640N</dc:creator>
  <cp:lastModifiedBy>Susan L. Mcgimpsey x8386 12359N</cp:lastModifiedBy>
  <dcterms:created xsi:type="dcterms:W3CDTF">2022-10-21T18:11:47Z</dcterms:created>
  <dcterms:modified xsi:type="dcterms:W3CDTF">2025-05-06T20:40:41Z</dcterms:modified>
</cp:coreProperties>
</file>