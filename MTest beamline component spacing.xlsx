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Muon Department\Neu Muon and SY\"/>
    </mc:Choice>
  </mc:AlternateContent>
  <xr:revisionPtr revIDLastSave="0" documentId="13_ncr:1_{4FC9349E-7634-47A9-BC43-7E1A6C63582A}" xr6:coauthVersionLast="47" xr6:coauthVersionMax="47" xr10:uidLastSave="{00000000-0000-0000-0000-000000000000}"/>
  <bookViews>
    <workbookView xWindow="450" yWindow="1890" windowWidth="18825" windowHeight="12840" xr2:uid="{CBA62AC3-D0D8-435B-BF19-79F009AD81AC}"/>
  </bookViews>
  <sheets>
    <sheet name="Low energy pion m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9" i="1" l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<sst xmlns="http://schemas.openxmlformats.org/spreadsheetml/2006/main" count="107" uniqueCount="55">
  <si>
    <t>MT4Q1</t>
  </si>
  <si>
    <t>Drift</t>
  </si>
  <si>
    <t>Device</t>
  </si>
  <si>
    <t>Length in</t>
  </si>
  <si>
    <t>Length m</t>
  </si>
  <si>
    <t>Comment</t>
  </si>
  <si>
    <t>Collimator</t>
  </si>
  <si>
    <t>MT4Q2</t>
  </si>
  <si>
    <t>MT4W-2</t>
  </si>
  <si>
    <t>MT4Q3</t>
  </si>
  <si>
    <t>MT4VT</t>
  </si>
  <si>
    <t>MT4CV1</t>
  </si>
  <si>
    <t>MT4TGT</t>
  </si>
  <si>
    <t>MT4ABS</t>
  </si>
  <si>
    <t>MT4FP</t>
  </si>
  <si>
    <t>MT4PB</t>
  </si>
  <si>
    <t>MTR4CH1</t>
  </si>
  <si>
    <t>MT4HT1</t>
  </si>
  <si>
    <t>MT4Q4</t>
  </si>
  <si>
    <t>MT4CH2</t>
  </si>
  <si>
    <t>MT4Q5</t>
  </si>
  <si>
    <t>MT4CV2</t>
  </si>
  <si>
    <t>MT4Q6</t>
  </si>
  <si>
    <t>MT5FP1</t>
  </si>
  <si>
    <t>MT5?</t>
  </si>
  <si>
    <t>Scintillator array</t>
  </si>
  <si>
    <t>MT5VT1</t>
  </si>
  <si>
    <t>MT5E-1</t>
  </si>
  <si>
    <t>MT5E-2</t>
  </si>
  <si>
    <t>MT5E-3</t>
  </si>
  <si>
    <t>MT5E-4</t>
  </si>
  <si>
    <t>MT5E-5</t>
  </si>
  <si>
    <t>MT5Q1</t>
  </si>
  <si>
    <t>M04 to M05 safety gate, 74.25" on M04 side</t>
  </si>
  <si>
    <t>MT5Q2</t>
  </si>
  <si>
    <t>MT5VT2</t>
  </si>
  <si>
    <t>MT5HT2</t>
  </si>
  <si>
    <t>MT5FP2</t>
  </si>
  <si>
    <t>MT6WC1</t>
  </si>
  <si>
    <t>MT4W-1</t>
  </si>
  <si>
    <t>Horizontal dipole</t>
  </si>
  <si>
    <t>Vertical Trim</t>
  </si>
  <si>
    <t>Quadrupole</t>
  </si>
  <si>
    <t>Estimated target length</t>
  </si>
  <si>
    <t>Vertical trim</t>
  </si>
  <si>
    <t>Profile monitor</t>
  </si>
  <si>
    <t>Horizontal trim</t>
  </si>
  <si>
    <t>Profile Monitor</t>
  </si>
  <si>
    <t>Profile monitor, assume it's device marked MT6PWC1</t>
  </si>
  <si>
    <t>Retractable lead foil</t>
  </si>
  <si>
    <t>US Cherenkov</t>
  </si>
  <si>
    <t>Upstream Cherenkov Detector</t>
  </si>
  <si>
    <t>DS Cherenkov</t>
  </si>
  <si>
    <t>Downstream Cherenkov Detector</t>
  </si>
  <si>
    <t>M04 to M05 safety gate just upstream of Cherenkov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</si>
</sst>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46C3E-D748-4397-B1DF-B2CACD6CA0E3}">
  <dimension ref="A1:D105"/>
  <sheetViews>
    <sheetView tabSelected="1" workbookViewId="0">
      <selection activeCell="D23" sqref="D23"/>
    </sheetView>
  </sheetViews>
  <sheetFormatPr defaultRowHeight="15" x14ac:dyDescent="0.25"/>
  <cols>
    <col min="1" max="1" width="12.85546875" bestFit="1" customWidth="1"/>
    <col min="2" max="3" width="10.7109375" customWidth="1"/>
    <col min="4" max="4" width="48.5703125" bestFit="1" customWidth="1"/>
  </cols>
  <sheetData>
    <row r="1" spans="1:4" x14ac:dyDescent="0.25">
      <c r="A1" t="s">
        <v>2</v>
      </c>
      <c r="B1" t="s">
        <v>3</v>
      </c>
      <c r="C1" t="s">
        <v>4</v>
      </c>
      <c r="D1" t="s">
        <v>5</v>
      </c>
    </row>
    <row r="3" spans="1:4" x14ac:dyDescent="0.25">
      <c r="A3" t="s">
        <v>12</v>
      </c>
      <c r="B3" s="1">
        <v>12</v>
      </c>
      <c r="C3" s="2">
        <f>$B3/39.37</f>
        <v>0.30480060960121924</v>
      </c>
      <c r="D3" t="s">
        <v>43</v>
      </c>
    </row>
    <row r="4" spans="1:4" x14ac:dyDescent="0.25">
      <c r="A4" t="s">
        <v>1</v>
      </c>
      <c r="B4" s="1">
        <v>110.5</v>
      </c>
      <c r="C4" s="2">
        <f>$B4/39.37</f>
        <v>2.8067056134112272</v>
      </c>
    </row>
    <row r="5" spans="1:4" x14ac:dyDescent="0.25">
      <c r="A5" t="s">
        <v>0</v>
      </c>
      <c r="B5" s="1">
        <v>120.5</v>
      </c>
      <c r="C5" s="2">
        <f>$B5/39.37</f>
        <v>3.0607061214122431</v>
      </c>
      <c r="D5" t="s">
        <v>42</v>
      </c>
    </row>
    <row r="6" spans="1:4" x14ac:dyDescent="0.25">
      <c r="A6" t="s">
        <v>1</v>
      </c>
      <c r="B6" s="1">
        <v>13.25</v>
      </c>
      <c r="C6" s="2">
        <f>$B6/39.37</f>
        <v>0.33655067310134623</v>
      </c>
    </row>
    <row r="7" spans="1:4" x14ac:dyDescent="0.25">
      <c r="A7" t="s">
        <v>39</v>
      </c>
      <c r="B7" s="1">
        <v>120</v>
      </c>
      <c r="C7" s="2">
        <f>$B7/39.37</f>
        <v>3.0480060960121924</v>
      </c>
      <c r="D7" t="s">
        <v>40</v>
      </c>
    </row>
    <row r="8" spans="1:4" x14ac:dyDescent="0.25">
      <c r="A8" t="s">
        <v>1</v>
      </c>
      <c r="B8" s="1">
        <v>252.75</v>
      </c>
      <c r="C8" s="2">
        <f>$B8/39.37</f>
        <v>6.4198628397256803</v>
      </c>
    </row>
    <row r="9" spans="1:4" x14ac:dyDescent="0.25">
      <c r="A9" t="s">
        <v>13</v>
      </c>
      <c r="B9" s="1">
        <v>72</v>
      </c>
      <c r="C9" s="2">
        <f>$B9/39.37</f>
        <v>1.8288036576073152</v>
      </c>
      <c r="D9" t="s">
        <v>6</v>
      </c>
    </row>
    <row r="10" spans="1:4" x14ac:dyDescent="0.25">
      <c r="A10" t="s">
        <v>1</v>
      </c>
      <c r="B10" s="1">
        <v>88.25</v>
      </c>
      <c r="C10" s="2">
        <f>$B10/39.37</f>
        <v>2.2415544831089664</v>
      </c>
    </row>
    <row r="11" spans="1:4" x14ac:dyDescent="0.25">
      <c r="A11" t="s">
        <v>7</v>
      </c>
      <c r="B11" s="1">
        <v>120</v>
      </c>
      <c r="C11" s="2">
        <f>$B11/39.37</f>
        <v>3.0480060960121924</v>
      </c>
      <c r="D11" t="s">
        <v>42</v>
      </c>
    </row>
    <row r="12" spans="1:4" x14ac:dyDescent="0.25">
      <c r="A12" t="s">
        <v>1</v>
      </c>
      <c r="B12" s="1">
        <v>25.5</v>
      </c>
      <c r="C12" s="2">
        <f>$B12/39.37</f>
        <v>0.6477012954025908</v>
      </c>
    </row>
    <row r="13" spans="1:4" x14ac:dyDescent="0.25">
      <c r="A13" t="s">
        <v>8</v>
      </c>
      <c r="B13" s="1">
        <v>120</v>
      </c>
      <c r="C13" s="2">
        <f>$B13/39.37</f>
        <v>3.0480060960121924</v>
      </c>
      <c r="D13" t="s">
        <v>40</v>
      </c>
    </row>
    <row r="14" spans="1:4" x14ac:dyDescent="0.25">
      <c r="A14" t="s">
        <v>1</v>
      </c>
      <c r="B14" s="1">
        <v>24.75</v>
      </c>
      <c r="C14" s="2">
        <f>$B14/39.37</f>
        <v>0.6286512573025147</v>
      </c>
    </row>
    <row r="15" spans="1:4" x14ac:dyDescent="0.25">
      <c r="A15" t="s">
        <v>9</v>
      </c>
      <c r="B15" s="1">
        <v>120</v>
      </c>
      <c r="C15" s="2">
        <f>$B15/39.37</f>
        <v>3.0480060960121924</v>
      </c>
      <c r="D15" t="s">
        <v>42</v>
      </c>
    </row>
    <row r="16" spans="1:4" x14ac:dyDescent="0.25">
      <c r="A16" t="s">
        <v>1</v>
      </c>
      <c r="B16" s="1">
        <v>18.75</v>
      </c>
      <c r="C16" s="2">
        <f>$B16/39.37</f>
        <v>0.47625095250190502</v>
      </c>
    </row>
    <row r="17" spans="1:4" x14ac:dyDescent="0.25">
      <c r="A17" t="s">
        <v>11</v>
      </c>
      <c r="B17" s="1">
        <v>66.5</v>
      </c>
      <c r="C17" s="2">
        <f>$B17/39.37</f>
        <v>1.6891033782067566</v>
      </c>
      <c r="D17" t="s">
        <v>6</v>
      </c>
    </row>
    <row r="18" spans="1:4" x14ac:dyDescent="0.25">
      <c r="A18" t="s">
        <v>1</v>
      </c>
      <c r="B18" s="1">
        <v>15.75</v>
      </c>
      <c r="C18" s="2">
        <f>$B18/39.37</f>
        <v>0.40005080010160021</v>
      </c>
    </row>
    <row r="19" spans="1:4" x14ac:dyDescent="0.25">
      <c r="A19" t="s">
        <v>10</v>
      </c>
      <c r="B19" s="1">
        <v>30</v>
      </c>
      <c r="C19" s="2">
        <f>$B19/39.37</f>
        <v>0.7620015240030481</v>
      </c>
      <c r="D19" t="s">
        <v>44</v>
      </c>
    </row>
    <row r="20" spans="1:4" x14ac:dyDescent="0.25">
      <c r="A20" t="s">
        <v>1</v>
      </c>
      <c r="B20" s="1">
        <v>146.75</v>
      </c>
      <c r="C20" s="2">
        <f>$B20/39.37</f>
        <v>3.72745745491491</v>
      </c>
    </row>
    <row r="21" spans="1:4" x14ac:dyDescent="0.25">
      <c r="A21" t="s">
        <v>14</v>
      </c>
      <c r="B21" s="1">
        <v>4.75</v>
      </c>
      <c r="C21" s="2">
        <f>$B21/39.37</f>
        <v>0.1206502413004826</v>
      </c>
      <c r="D21" t="s">
        <v>45</v>
      </c>
    </row>
    <row r="22" spans="1:4" x14ac:dyDescent="0.25">
      <c r="A22" t="s">
        <v>1</v>
      </c>
      <c r="B22" s="1">
        <v>9.25</v>
      </c>
      <c r="C22" s="2">
        <f>$B22/39.37</f>
        <v>0.23495046990093982</v>
      </c>
    </row>
    <row r="23" spans="1:4" x14ac:dyDescent="0.25">
      <c r="A23" t="s">
        <v>15</v>
      </c>
      <c r="B23" s="1">
        <v>4</v>
      </c>
      <c r="C23" s="2">
        <f>$B23/39.37</f>
        <v>0.10160020320040641</v>
      </c>
      <c r="D23" t="s">
        <v>49</v>
      </c>
    </row>
    <row r="24" spans="1:4" x14ac:dyDescent="0.25">
      <c r="A24" t="s">
        <v>1</v>
      </c>
      <c r="B24" s="1">
        <v>9</v>
      </c>
      <c r="C24" s="2">
        <f>$B24/39.37</f>
        <v>0.2286004572009144</v>
      </c>
    </row>
    <row r="25" spans="1:4" x14ac:dyDescent="0.25">
      <c r="A25" t="s">
        <v>16</v>
      </c>
      <c r="B25" s="1">
        <v>67.5</v>
      </c>
      <c r="C25" s="2">
        <f>$B25/39.37</f>
        <v>1.7145034290068581</v>
      </c>
      <c r="D25" t="s">
        <v>6</v>
      </c>
    </row>
    <row r="26" spans="1:4" x14ac:dyDescent="0.25">
      <c r="A26" t="s">
        <v>1</v>
      </c>
      <c r="B26" s="1">
        <v>322</v>
      </c>
      <c r="C26" s="2">
        <f>$B26/39.37</f>
        <v>8.1788163576327158</v>
      </c>
    </row>
    <row r="27" spans="1:4" x14ac:dyDescent="0.25">
      <c r="A27" t="s">
        <v>17</v>
      </c>
      <c r="B27" s="1">
        <v>30</v>
      </c>
      <c r="C27" s="2">
        <f>$B27/39.37</f>
        <v>0.7620015240030481</v>
      </c>
      <c r="D27" t="s">
        <v>46</v>
      </c>
    </row>
    <row r="28" spans="1:4" x14ac:dyDescent="0.25">
      <c r="A28" t="s">
        <v>1</v>
      </c>
      <c r="B28" s="1">
        <v>35.25</v>
      </c>
      <c r="C28" s="2">
        <f>$B28/39.37</f>
        <v>0.89535179070358151</v>
      </c>
    </row>
    <row r="29" spans="1:4" x14ac:dyDescent="0.25">
      <c r="A29" t="s">
        <v>18</v>
      </c>
      <c r="B29" s="1">
        <v>120</v>
      </c>
      <c r="C29" s="2">
        <f>$B29/39.37</f>
        <v>3.0480060960121924</v>
      </c>
      <c r="D29" t="s">
        <v>42</v>
      </c>
    </row>
    <row r="30" spans="1:4" x14ac:dyDescent="0.25">
      <c r="A30" t="s">
        <v>1</v>
      </c>
      <c r="B30" s="1">
        <v>14.75</v>
      </c>
      <c r="C30" s="2">
        <f>$B30/39.37</f>
        <v>0.37465074930149861</v>
      </c>
    </row>
    <row r="31" spans="1:4" x14ac:dyDescent="0.25">
      <c r="A31" t="s">
        <v>19</v>
      </c>
      <c r="B31" s="1">
        <v>67.5</v>
      </c>
      <c r="C31" s="2">
        <f>$B31/39.37</f>
        <v>1.7145034290068581</v>
      </c>
      <c r="D31" t="s">
        <v>6</v>
      </c>
    </row>
    <row r="32" spans="1:4" x14ac:dyDescent="0.25">
      <c r="A32" t="s">
        <v>1</v>
      </c>
      <c r="B32" s="1">
        <v>50.25</v>
      </c>
      <c r="C32" s="2">
        <f>$B32/39.37</f>
        <v>1.2763525527051054</v>
      </c>
    </row>
    <row r="33" spans="1:4" x14ac:dyDescent="0.25">
      <c r="A33" t="s">
        <v>20</v>
      </c>
      <c r="B33" s="1">
        <v>120</v>
      </c>
      <c r="C33" s="2">
        <f>$B33/39.37</f>
        <v>3.0480060960121924</v>
      </c>
      <c r="D33" t="s">
        <v>42</v>
      </c>
    </row>
    <row r="34" spans="1:4" x14ac:dyDescent="0.25">
      <c r="A34" t="s">
        <v>1</v>
      </c>
      <c r="B34" s="1">
        <v>13.5</v>
      </c>
      <c r="C34" s="2">
        <f>$B34/39.37</f>
        <v>0.34290068580137162</v>
      </c>
    </row>
    <row r="35" spans="1:4" x14ac:dyDescent="0.25">
      <c r="A35" t="s">
        <v>21</v>
      </c>
      <c r="B35" s="1">
        <v>67.5</v>
      </c>
      <c r="C35" s="2">
        <f>$B35/39.37</f>
        <v>1.7145034290068581</v>
      </c>
      <c r="D35" t="s">
        <v>6</v>
      </c>
    </row>
    <row r="36" spans="1:4" x14ac:dyDescent="0.25">
      <c r="A36" t="s">
        <v>1</v>
      </c>
      <c r="B36" s="1">
        <v>64.75</v>
      </c>
      <c r="C36" s="2">
        <f>$B36/39.37</f>
        <v>1.6446532893065786</v>
      </c>
    </row>
    <row r="37" spans="1:4" x14ac:dyDescent="0.25">
      <c r="A37" t="s">
        <v>22</v>
      </c>
      <c r="B37" s="1">
        <v>120</v>
      </c>
      <c r="C37" s="2">
        <f>$B37/39.37</f>
        <v>3.0480060960121924</v>
      </c>
      <c r="D37" t="s">
        <v>42</v>
      </c>
    </row>
    <row r="38" spans="1:4" x14ac:dyDescent="0.25">
      <c r="A38" t="s">
        <v>1</v>
      </c>
      <c r="B38" s="1">
        <v>11.75</v>
      </c>
      <c r="C38" s="2">
        <f>$B38/39.37</f>
        <v>0.2984505969011938</v>
      </c>
    </row>
    <row r="39" spans="1:4" x14ac:dyDescent="0.25">
      <c r="A39" t="s">
        <v>23</v>
      </c>
      <c r="B39" s="1">
        <v>4.75</v>
      </c>
      <c r="C39" s="2">
        <f>$B39/39.37</f>
        <v>0.1206502413004826</v>
      </c>
      <c r="D39" t="s">
        <v>45</v>
      </c>
    </row>
    <row r="40" spans="1:4" x14ac:dyDescent="0.25">
      <c r="A40" t="s">
        <v>1</v>
      </c>
      <c r="B40" s="1">
        <v>48.75</v>
      </c>
      <c r="C40" s="2">
        <f>$B40/39.37</f>
        <v>1.2382524765049532</v>
      </c>
    </row>
    <row r="41" spans="1:4" x14ac:dyDescent="0.25">
      <c r="A41" t="s">
        <v>24</v>
      </c>
      <c r="B41" s="1">
        <v>1</v>
      </c>
      <c r="C41" s="2">
        <f>$B41/39.37</f>
        <v>2.5400050800101603E-2</v>
      </c>
      <c r="D41" t="s">
        <v>25</v>
      </c>
    </row>
    <row r="42" spans="1:4" x14ac:dyDescent="0.25">
      <c r="A42" t="s">
        <v>1</v>
      </c>
      <c r="B42" s="1">
        <v>36.25</v>
      </c>
      <c r="C42" s="2">
        <f>$B42/39.37</f>
        <v>0.92075184150368306</v>
      </c>
    </row>
    <row r="43" spans="1:4" x14ac:dyDescent="0.25">
      <c r="A43" t="s">
        <v>26</v>
      </c>
      <c r="B43" s="1">
        <v>30</v>
      </c>
      <c r="C43" s="2">
        <f>$B43/39.37</f>
        <v>0.7620015240030481</v>
      </c>
      <c r="D43" t="s">
        <v>41</v>
      </c>
    </row>
    <row r="44" spans="1:4" x14ac:dyDescent="0.25">
      <c r="A44" t="s">
        <v>1</v>
      </c>
      <c r="B44" s="1">
        <v>19</v>
      </c>
      <c r="C44" s="2">
        <f>$B44/39.37</f>
        <v>0.48260096520193041</v>
      </c>
    </row>
    <row r="45" spans="1:4" x14ac:dyDescent="0.25">
      <c r="A45" t="s">
        <v>27</v>
      </c>
      <c r="B45" s="1">
        <v>120</v>
      </c>
      <c r="C45" s="2">
        <f>$B45/39.37</f>
        <v>3.0480060960121924</v>
      </c>
      <c r="D45" t="s">
        <v>40</v>
      </c>
    </row>
    <row r="46" spans="1:4" x14ac:dyDescent="0.25">
      <c r="A46" t="s">
        <v>1</v>
      </c>
      <c r="B46" s="1">
        <v>19.25</v>
      </c>
      <c r="C46" s="2">
        <f>$B46/39.37</f>
        <v>0.48895097790195585</v>
      </c>
    </row>
    <row r="47" spans="1:4" x14ac:dyDescent="0.25">
      <c r="A47" t="s">
        <v>28</v>
      </c>
      <c r="B47" s="1">
        <v>120</v>
      </c>
      <c r="C47" s="2">
        <f>$B47/39.37</f>
        <v>3.0480060960121924</v>
      </c>
      <c r="D47" t="s">
        <v>40</v>
      </c>
    </row>
    <row r="48" spans="1:4" x14ac:dyDescent="0.25">
      <c r="A48" t="s">
        <v>1</v>
      </c>
      <c r="B48" s="1">
        <v>18.5</v>
      </c>
      <c r="C48" s="2">
        <f>$B48/39.37</f>
        <v>0.46990093980187964</v>
      </c>
    </row>
    <row r="49" spans="1:4" x14ac:dyDescent="0.25">
      <c r="A49" t="s">
        <v>29</v>
      </c>
      <c r="B49" s="1">
        <v>120</v>
      </c>
      <c r="C49" s="2">
        <f>$B49/39.37</f>
        <v>3.0480060960121924</v>
      </c>
      <c r="D49" t="s">
        <v>40</v>
      </c>
    </row>
    <row r="50" spans="1:4" x14ac:dyDescent="0.25">
      <c r="A50" t="s">
        <v>1</v>
      </c>
      <c r="B50" s="1">
        <v>19.25</v>
      </c>
      <c r="C50" s="2">
        <f>$B50/39.37</f>
        <v>0.48895097790195585</v>
      </c>
    </row>
    <row r="51" spans="1:4" x14ac:dyDescent="0.25">
      <c r="A51" t="s">
        <v>30</v>
      </c>
      <c r="B51" s="1">
        <v>120</v>
      </c>
      <c r="C51" s="2">
        <f>$B51/39.37</f>
        <v>3.0480060960121924</v>
      </c>
      <c r="D51" t="s">
        <v>40</v>
      </c>
    </row>
    <row r="52" spans="1:4" x14ac:dyDescent="0.25">
      <c r="A52" t="s">
        <v>1</v>
      </c>
      <c r="B52" s="1">
        <v>19</v>
      </c>
      <c r="C52" s="2">
        <f>$B52/39.37</f>
        <v>0.48260096520193041</v>
      </c>
    </row>
    <row r="53" spans="1:4" x14ac:dyDescent="0.25">
      <c r="A53" t="s">
        <v>31</v>
      </c>
      <c r="B53" s="1">
        <v>120</v>
      </c>
      <c r="C53" s="2">
        <f>$B53/39.37</f>
        <v>3.0480060960121924</v>
      </c>
      <c r="D53" t="s">
        <v>40</v>
      </c>
    </row>
    <row r="54" spans="1:4" x14ac:dyDescent="0.25">
      <c r="A54" t="s">
        <v>1</v>
      </c>
      <c r="B54" s="1">
        <v>330.75</v>
      </c>
      <c r="C54" s="2">
        <f>$B54/39.37</f>
        <v>8.4010668021336041</v>
      </c>
      <c r="D54" t="s">
        <v>33</v>
      </c>
    </row>
    <row r="55" spans="1:4" x14ac:dyDescent="0.25">
      <c r="A55" t="s">
        <v>32</v>
      </c>
      <c r="B55" s="1">
        <v>120</v>
      </c>
      <c r="C55" s="2">
        <f>$B55/39.37</f>
        <v>3.0480060960121924</v>
      </c>
      <c r="D55" t="s">
        <v>42</v>
      </c>
    </row>
    <row r="56" spans="1:4" x14ac:dyDescent="0.25">
      <c r="A56" t="s">
        <v>1</v>
      </c>
      <c r="B56" s="1">
        <v>23.75</v>
      </c>
      <c r="C56" s="2">
        <f>$B56/39.37</f>
        <v>0.60325120650241304</v>
      </c>
    </row>
    <row r="57" spans="1:4" x14ac:dyDescent="0.25">
      <c r="A57" t="s">
        <v>34</v>
      </c>
      <c r="B57" s="1">
        <v>120</v>
      </c>
      <c r="C57" s="2">
        <f>$B57/39.37</f>
        <v>3.0480060960121924</v>
      </c>
      <c r="D57" t="s">
        <v>42</v>
      </c>
    </row>
    <row r="58" spans="1:4" x14ac:dyDescent="0.25">
      <c r="A58" t="s">
        <v>1</v>
      </c>
      <c r="B58" s="1">
        <v>34.875</v>
      </c>
      <c r="C58" s="2">
        <f>$B58/39.37</f>
        <v>0.8858267716535434</v>
      </c>
    </row>
    <row r="59" spans="1:4" x14ac:dyDescent="0.25">
      <c r="A59" t="s">
        <v>35</v>
      </c>
      <c r="B59" s="1">
        <v>30</v>
      </c>
      <c r="C59" s="2">
        <f>$B59/39.37</f>
        <v>0.7620015240030481</v>
      </c>
      <c r="D59" t="s">
        <v>44</v>
      </c>
    </row>
    <row r="60" spans="1:4" x14ac:dyDescent="0.25">
      <c r="A60" t="s">
        <v>1</v>
      </c>
      <c r="B60" s="1">
        <v>34.75</v>
      </c>
      <c r="C60" s="2">
        <f>$B60/39.37</f>
        <v>0.88265176530353062</v>
      </c>
    </row>
    <row r="61" spans="1:4" x14ac:dyDescent="0.25">
      <c r="A61" t="s">
        <v>36</v>
      </c>
      <c r="B61" s="1">
        <v>30</v>
      </c>
      <c r="C61" s="2">
        <f>$B61/39.37</f>
        <v>0.7620015240030481</v>
      </c>
      <c r="D61" t="s">
        <v>46</v>
      </c>
    </row>
    <row r="62" spans="1:4" x14ac:dyDescent="0.25">
      <c r="A62" t="s">
        <v>1</v>
      </c>
      <c r="B62" s="1">
        <v>14</v>
      </c>
      <c r="C62" s="2">
        <f>$B62/39.37</f>
        <v>0.35560071120142245</v>
      </c>
    </row>
    <row r="63" spans="1:4" x14ac:dyDescent="0.25">
      <c r="A63" t="s">
        <v>37</v>
      </c>
      <c r="B63" s="1">
        <v>4.75</v>
      </c>
      <c r="C63" s="2">
        <f>$B63/39.37</f>
        <v>0.1206502413004826</v>
      </c>
      <c r="D63" t="s">
        <v>47</v>
      </c>
    </row>
    <row r="64" spans="1:4" x14ac:dyDescent="0.25">
      <c r="A64" t="s">
        <v>1</v>
      </c>
      <c r="B64" s="1">
        <v>83.125</v>
      </c>
      <c r="C64" s="2">
        <f>$B64/39.37</f>
        <v>2.1113792227584458</v>
      </c>
    </row>
    <row r="65" spans="1:4" x14ac:dyDescent="0.25">
      <c r="A65" t="s">
        <v>50</v>
      </c>
      <c r="B65" s="1">
        <v>507.5</v>
      </c>
      <c r="C65" s="2">
        <f>$B65/39.37</f>
        <v>12.890525781051563</v>
      </c>
      <c r="D65" t="s">
        <v>51</v>
      </c>
    </row>
    <row r="66" spans="1:4" x14ac:dyDescent="0.25">
      <c r="A66" t="s">
        <v>1</v>
      </c>
      <c r="B66" s="1">
        <v>670.75</v>
      </c>
      <c r="C66" s="2">
        <f>$B66/39.37</f>
        <v>17.037084074168149</v>
      </c>
      <c r="D66" t="s">
        <v>54</v>
      </c>
    </row>
    <row r="67" spans="1:4" x14ac:dyDescent="0.25">
      <c r="A67" t="s">
        <v>52</v>
      </c>
      <c r="B67" s="1">
        <v>127.25</v>
      </c>
      <c r="C67" s="2">
        <f>$B67/39.37</f>
        <v>3.2321564643129288</v>
      </c>
      <c r="D67" t="s">
        <v>53</v>
      </c>
    </row>
    <row r="68" spans="1:4" x14ac:dyDescent="0.25">
      <c r="A68" t="s">
        <v>1</v>
      </c>
      <c r="B68" s="1">
        <v>18</v>
      </c>
      <c r="C68" s="2">
        <f>$B68/39.37</f>
        <v>0.45720091440182881</v>
      </c>
    </row>
    <row r="69" spans="1:4" x14ac:dyDescent="0.25">
      <c r="A69" t="s">
        <v>38</v>
      </c>
      <c r="B69" s="1">
        <v>0.75</v>
      </c>
      <c r="C69" s="2">
        <f>$B69/39.37</f>
        <v>1.9050038100076203E-2</v>
      </c>
      <c r="D69" t="s">
        <v>48</v>
      </c>
    </row>
    <row r="70" spans="1:4" x14ac:dyDescent="0.25">
      <c r="B70" s="1"/>
      <c r="C70" s="2"/>
    </row>
    <row r="71" spans="1:4" x14ac:dyDescent="0.25">
      <c r="B71" s="1"/>
      <c r="C71" s="2"/>
    </row>
    <row r="72" spans="1:4" x14ac:dyDescent="0.25">
      <c r="B72" s="1"/>
      <c r="C72" s="2"/>
    </row>
    <row r="73" spans="1:4" x14ac:dyDescent="0.25">
      <c r="B73" s="1"/>
      <c r="C73" s="2"/>
    </row>
    <row r="74" spans="1:4" x14ac:dyDescent="0.25">
      <c r="B74" s="1"/>
      <c r="C74" s="2"/>
    </row>
    <row r="75" spans="1:4" x14ac:dyDescent="0.25">
      <c r="B75" s="1"/>
      <c r="C75" s="2"/>
    </row>
    <row r="76" spans="1:4" x14ac:dyDescent="0.25">
      <c r="B76" s="1"/>
      <c r="C76" s="2"/>
    </row>
    <row r="77" spans="1:4" x14ac:dyDescent="0.25">
      <c r="B77" s="1"/>
      <c r="C77" s="2"/>
    </row>
    <row r="78" spans="1:4" x14ac:dyDescent="0.25">
      <c r="B78" s="1"/>
      <c r="C78" s="2"/>
    </row>
    <row r="79" spans="1:4" x14ac:dyDescent="0.25">
      <c r="B79" s="1"/>
      <c r="C79" s="2"/>
    </row>
    <row r="80" spans="1:4" x14ac:dyDescent="0.25">
      <c r="B80" s="1"/>
      <c r="C80" s="2"/>
    </row>
    <row r="81" spans="2:3" x14ac:dyDescent="0.25">
      <c r="B81" s="1"/>
      <c r="C81" s="2"/>
    </row>
    <row r="82" spans="2:3" x14ac:dyDescent="0.25">
      <c r="B82" s="1"/>
      <c r="C82" s="2"/>
    </row>
    <row r="83" spans="2:3" x14ac:dyDescent="0.25">
      <c r="B83" s="1"/>
      <c r="C83" s="2"/>
    </row>
    <row r="84" spans="2:3" x14ac:dyDescent="0.25">
      <c r="B84" s="1"/>
      <c r="C84" s="2"/>
    </row>
    <row r="85" spans="2:3" x14ac:dyDescent="0.25">
      <c r="B85" s="1"/>
      <c r="C85" s="2"/>
    </row>
    <row r="86" spans="2:3" x14ac:dyDescent="0.25">
      <c r="B86" s="1"/>
      <c r="C86" s="2"/>
    </row>
    <row r="87" spans="2:3" x14ac:dyDescent="0.25">
      <c r="B87" s="1"/>
      <c r="C87" s="2"/>
    </row>
    <row r="88" spans="2:3" x14ac:dyDescent="0.25">
      <c r="B88" s="1"/>
      <c r="C88" s="2"/>
    </row>
    <row r="89" spans="2:3" x14ac:dyDescent="0.25">
      <c r="B89" s="1"/>
      <c r="C89" s="2"/>
    </row>
    <row r="90" spans="2:3" x14ac:dyDescent="0.25">
      <c r="B90" s="1"/>
      <c r="C90" s="2"/>
    </row>
    <row r="91" spans="2:3" x14ac:dyDescent="0.25">
      <c r="B91" s="1"/>
      <c r="C91" s="2"/>
    </row>
    <row r="92" spans="2:3" x14ac:dyDescent="0.25">
      <c r="B92" s="1"/>
      <c r="C92" s="2"/>
    </row>
    <row r="93" spans="2:3" x14ac:dyDescent="0.25">
      <c r="B93" s="1"/>
      <c r="C93" s="2"/>
    </row>
    <row r="94" spans="2:3" x14ac:dyDescent="0.25">
      <c r="B94" s="1"/>
      <c r="C94" s="2"/>
    </row>
    <row r="95" spans="2:3" x14ac:dyDescent="0.25">
      <c r="B95" s="1"/>
      <c r="C95" s="2"/>
    </row>
    <row r="96" spans="2:3" x14ac:dyDescent="0.25">
      <c r="B96" s="1"/>
      <c r="C96" s="2"/>
    </row>
    <row r="97" spans="2:3" x14ac:dyDescent="0.25">
      <c r="B97" s="1"/>
      <c r="C97" s="2"/>
    </row>
    <row r="98" spans="2:3" x14ac:dyDescent="0.25">
      <c r="B98" s="1"/>
      <c r="C98" s="2"/>
    </row>
    <row r="99" spans="2:3" x14ac:dyDescent="0.25">
      <c r="B99" s="1"/>
      <c r="C99" s="2"/>
    </row>
    <row r="100" spans="2:3" x14ac:dyDescent="0.25">
      <c r="B100" s="1"/>
    </row>
    <row r="101" spans="2:3" x14ac:dyDescent="0.25">
      <c r="B101" s="1"/>
    </row>
    <row r="102" spans="2:3" x14ac:dyDescent="0.25">
      <c r="B102" s="1"/>
    </row>
    <row r="103" spans="2:3" x14ac:dyDescent="0.25">
      <c r="B103" s="1"/>
    </row>
    <row r="104" spans="2:3" x14ac:dyDescent="0.25">
      <c r="B104" s="1"/>
    </row>
    <row r="105" spans="2:3" x14ac:dyDescent="0.25">
      <c r="B10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Low energy pion mode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Morgan</dc:creator>
  <cp:lastModifiedBy>James Morgan</cp:lastModifiedBy>
  <dcterms:created xsi:type="dcterms:W3CDTF">2025-08-26T16:40:48Z</dcterms:created>
  <dcterms:modified xsi:type="dcterms:W3CDTF">2025-08-29T12:01:14Z</dcterms:modified>
</cp:coreProperties>
</file>